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Universidade\Fitotecnia\Doutorado\Pesquisa_orientada\Jojoba\Jojoba\Novos_dad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96" i="1" l="1"/>
  <c r="Q18" i="1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6" i="1" l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65" i="1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</calcChain>
</file>

<file path=xl/sharedStrings.xml><?xml version="1.0" encoding="utf-8"?>
<sst xmlns="http://schemas.openxmlformats.org/spreadsheetml/2006/main" count="511" uniqueCount="21">
  <si>
    <t>Area</t>
  </si>
  <si>
    <t>Mean</t>
  </si>
  <si>
    <t>Mode</t>
  </si>
  <si>
    <t>Min</t>
  </si>
  <si>
    <t>Max</t>
  </si>
  <si>
    <t>Width</t>
  </si>
  <si>
    <t>Height</t>
  </si>
  <si>
    <t>Circ.</t>
  </si>
  <si>
    <t>IntDen</t>
  </si>
  <si>
    <t>Median</t>
  </si>
  <si>
    <t>Round</t>
  </si>
  <si>
    <t>Solidity</t>
  </si>
  <si>
    <t>Lote_1</t>
  </si>
  <si>
    <t>Lote_2</t>
  </si>
  <si>
    <t>Lote_3</t>
  </si>
  <si>
    <t>Lote_4</t>
  </si>
  <si>
    <t>Lote_5</t>
  </si>
  <si>
    <t>Perim</t>
  </si>
  <si>
    <t>Lote</t>
  </si>
  <si>
    <t>Proa</t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</si>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</sst>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6"/>
  <sheetViews>
    <sheetView tabSelected="1" zoomScale="80" zoomScaleNormal="80" workbookViewId="0">
      <pane ySplit="1" topLeftCell="A484" activePane="bottomLeft" state="frozen"/>
      <selection pane="bottomLeft" activeCell="N506" sqref="N506"/>
    </sheetView>
  </sheetViews>
  <sheetFormatPr baseColWidth="10" defaultRowHeight="14.5" x14ac:dyDescent="0.35"/>
  <cols>
    <col min="1" max="1" width="8.81640625" customWidth="1"/>
    <col min="2" max="2" width="11.54296875" bestFit="1" customWidth="1"/>
    <col min="16" max="16" width="13.1796875" customWidth="1"/>
    <col min="17" max="17" width="21.90625" customWidth="1"/>
    <col min="19" max="19" width="11.54296875" bestFit="1" customWidth="1"/>
  </cols>
  <sheetData>
    <row r="1" spans="1:17" x14ac:dyDescent="0.3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19</v>
      </c>
      <c r="N1" t="s">
        <v>10</v>
      </c>
      <c r="O1" t="s">
        <v>11</v>
      </c>
      <c r="P1" t="s">
        <v>20</v>
      </c>
    </row>
    <row r="2" spans="1:17" x14ac:dyDescent="0.35">
      <c r="A2" t="s">
        <v>12</v>
      </c>
      <c r="B2">
        <v>135.17599999999999</v>
      </c>
      <c r="C2">
        <v>126.51300000000001</v>
      </c>
      <c r="D2">
        <v>142</v>
      </c>
      <c r="E2">
        <v>62</v>
      </c>
      <c r="F2">
        <v>163</v>
      </c>
      <c r="G2">
        <v>53.563000000000002</v>
      </c>
      <c r="H2">
        <v>10.614000000000001</v>
      </c>
      <c r="I2">
        <v>16.532</v>
      </c>
      <c r="J2">
        <v>0.59199999999999997</v>
      </c>
      <c r="K2">
        <v>17101.519</v>
      </c>
      <c r="L2">
        <v>133</v>
      </c>
      <c r="M2">
        <v>1.64</v>
      </c>
      <c r="N2">
        <v>0.61</v>
      </c>
      <c r="O2">
        <v>0.98199999999999998</v>
      </c>
      <c r="P2" s="2">
        <f>I2/H2</f>
        <v>1.5575654795553042</v>
      </c>
      <c r="Q2" t="str">
        <f t="shared" ref="Q2:Q65" si="0">IF(P2&lt;1,"ovoide",IF(P2&lt;1.5,"esferica",IF(P2&lt;2,"eliptica","alongada")))</f>
        <v>eliptica</v>
      </c>
    </row>
    <row r="3" spans="1:17" x14ac:dyDescent="0.35">
      <c r="A3" t="s">
        <v>12</v>
      </c>
      <c r="B3">
        <v>102.99</v>
      </c>
      <c r="C3">
        <v>116.503</v>
      </c>
      <c r="D3">
        <v>126</v>
      </c>
      <c r="E3">
        <v>61</v>
      </c>
      <c r="F3">
        <v>149</v>
      </c>
      <c r="G3">
        <v>46.304000000000002</v>
      </c>
      <c r="H3">
        <v>8.6080000000000005</v>
      </c>
      <c r="I3">
        <v>15.113</v>
      </c>
      <c r="J3">
        <v>0.60399999999999998</v>
      </c>
      <c r="K3">
        <v>11998.635</v>
      </c>
      <c r="L3">
        <v>121</v>
      </c>
      <c r="M3">
        <v>1.7929999999999999</v>
      </c>
      <c r="N3">
        <v>0.55800000000000005</v>
      </c>
      <c r="O3">
        <v>0.98099999999999998</v>
      </c>
      <c r="P3" s="2">
        <f t="shared" ref="P3:P66" si="1">I3/H3</f>
        <v>1.7556923791821559</v>
      </c>
      <c r="Q3" t="str">
        <f t="shared" si="0"/>
        <v>eliptica</v>
      </c>
    </row>
    <row r="4" spans="1:17" x14ac:dyDescent="0.35">
      <c r="A4" t="s">
        <v>12</v>
      </c>
      <c r="B4">
        <v>95.480999999999995</v>
      </c>
      <c r="C4">
        <v>95.87</v>
      </c>
      <c r="D4">
        <v>103</v>
      </c>
      <c r="E4">
        <v>58</v>
      </c>
      <c r="F4">
        <v>122</v>
      </c>
      <c r="G4">
        <v>54.834000000000003</v>
      </c>
      <c r="H4">
        <v>9.4890000000000008</v>
      </c>
      <c r="I4">
        <v>13.548</v>
      </c>
      <c r="J4">
        <v>0.39900000000000002</v>
      </c>
      <c r="K4">
        <v>9153.76</v>
      </c>
      <c r="L4">
        <v>98</v>
      </c>
      <c r="M4">
        <v>1.4630000000000001</v>
      </c>
      <c r="N4">
        <v>0.68400000000000005</v>
      </c>
      <c r="O4">
        <v>0.96399999999999997</v>
      </c>
      <c r="P4" s="2">
        <f t="shared" si="1"/>
        <v>1.427758457160923</v>
      </c>
      <c r="Q4" t="str">
        <f t="shared" si="0"/>
        <v>esferica</v>
      </c>
    </row>
    <row r="5" spans="1:17" x14ac:dyDescent="0.35">
      <c r="A5" t="s">
        <v>12</v>
      </c>
      <c r="B5">
        <v>92.849000000000004</v>
      </c>
      <c r="C5">
        <v>102.794</v>
      </c>
      <c r="D5">
        <v>114</v>
      </c>
      <c r="E5">
        <v>60</v>
      </c>
      <c r="F5">
        <v>129</v>
      </c>
      <c r="G5">
        <v>48.09</v>
      </c>
      <c r="H5">
        <v>9.2439999999999998</v>
      </c>
      <c r="I5">
        <v>12.961</v>
      </c>
      <c r="J5">
        <v>0.505</v>
      </c>
      <c r="K5">
        <v>9544.3510000000006</v>
      </c>
      <c r="L5">
        <v>107</v>
      </c>
      <c r="M5">
        <v>1.409</v>
      </c>
      <c r="N5">
        <v>0.71</v>
      </c>
      <c r="O5">
        <v>0.97299999999999998</v>
      </c>
      <c r="P5" s="2">
        <f t="shared" si="1"/>
        <v>1.4020986585893553</v>
      </c>
      <c r="Q5" t="str">
        <f t="shared" si="0"/>
        <v>esferica</v>
      </c>
    </row>
    <row r="6" spans="1:17" x14ac:dyDescent="0.35">
      <c r="A6" t="s">
        <v>12</v>
      </c>
      <c r="B6">
        <v>92.256</v>
      </c>
      <c r="C6">
        <v>120.325</v>
      </c>
      <c r="D6">
        <v>143</v>
      </c>
      <c r="E6">
        <v>63</v>
      </c>
      <c r="F6">
        <v>155</v>
      </c>
      <c r="G6">
        <v>43.902999999999999</v>
      </c>
      <c r="H6">
        <v>9.0489999999999995</v>
      </c>
      <c r="I6">
        <v>12.57</v>
      </c>
      <c r="J6">
        <v>0.60099999999999998</v>
      </c>
      <c r="K6">
        <v>11100.76</v>
      </c>
      <c r="L6">
        <v>124</v>
      </c>
      <c r="M6">
        <v>1.3979999999999999</v>
      </c>
      <c r="N6">
        <v>0.71499999999999997</v>
      </c>
      <c r="O6">
        <v>0.97899999999999998</v>
      </c>
      <c r="P6" s="2">
        <f t="shared" si="1"/>
        <v>1.3891037683721958</v>
      </c>
      <c r="Q6" t="str">
        <f t="shared" si="0"/>
        <v>esferica</v>
      </c>
    </row>
    <row r="7" spans="1:17" x14ac:dyDescent="0.35">
      <c r="A7" t="s">
        <v>12</v>
      </c>
      <c r="B7">
        <v>189.16300000000001</v>
      </c>
      <c r="C7">
        <v>131.946</v>
      </c>
      <c r="D7">
        <v>148</v>
      </c>
      <c r="E7">
        <v>65</v>
      </c>
      <c r="F7">
        <v>166</v>
      </c>
      <c r="G7">
        <v>56.670999999999999</v>
      </c>
      <c r="H7">
        <v>12.864000000000001</v>
      </c>
      <c r="I7">
        <v>17.608000000000001</v>
      </c>
      <c r="J7">
        <v>0.74</v>
      </c>
      <c r="K7">
        <v>24959.23</v>
      </c>
      <c r="L7">
        <v>138</v>
      </c>
      <c r="M7">
        <v>1.3839999999999999</v>
      </c>
      <c r="N7">
        <v>0.72299999999999998</v>
      </c>
      <c r="O7">
        <v>0.98799999999999999</v>
      </c>
      <c r="P7" s="2">
        <f t="shared" si="1"/>
        <v>1.3687810945273631</v>
      </c>
      <c r="Q7" t="str">
        <f t="shared" si="0"/>
        <v>esferica</v>
      </c>
    </row>
    <row r="8" spans="1:17" x14ac:dyDescent="0.35">
      <c r="A8" t="s">
        <v>12</v>
      </c>
      <c r="B8">
        <v>158.9</v>
      </c>
      <c r="C8">
        <v>128.57300000000001</v>
      </c>
      <c r="D8">
        <v>143</v>
      </c>
      <c r="E8">
        <v>61</v>
      </c>
      <c r="F8">
        <v>165</v>
      </c>
      <c r="G8">
        <v>55.723999999999997</v>
      </c>
      <c r="H8">
        <v>13.646000000000001</v>
      </c>
      <c r="I8">
        <v>14.722</v>
      </c>
      <c r="J8">
        <v>0.64300000000000002</v>
      </c>
      <c r="K8">
        <v>20430.377</v>
      </c>
      <c r="L8">
        <v>134</v>
      </c>
      <c r="M8">
        <v>1.089</v>
      </c>
      <c r="N8">
        <v>0.91800000000000004</v>
      </c>
      <c r="O8">
        <v>0.98199999999999998</v>
      </c>
      <c r="P8" s="2">
        <f t="shared" si="1"/>
        <v>1.0788509453319652</v>
      </c>
      <c r="Q8" t="str">
        <f t="shared" si="0"/>
        <v>esferica</v>
      </c>
    </row>
    <row r="9" spans="1:17" x14ac:dyDescent="0.35">
      <c r="A9" t="s">
        <v>12</v>
      </c>
      <c r="B9">
        <v>77.52</v>
      </c>
      <c r="C9">
        <v>122.93899999999999</v>
      </c>
      <c r="D9">
        <v>132</v>
      </c>
      <c r="E9">
        <v>66</v>
      </c>
      <c r="F9">
        <v>154</v>
      </c>
      <c r="G9">
        <v>38.526000000000003</v>
      </c>
      <c r="H9">
        <v>7.875</v>
      </c>
      <c r="I9">
        <v>12.667999999999999</v>
      </c>
      <c r="J9">
        <v>0.65600000000000003</v>
      </c>
      <c r="K9">
        <v>9530.1980000000003</v>
      </c>
      <c r="L9">
        <v>128</v>
      </c>
      <c r="M9">
        <v>1.6839999999999999</v>
      </c>
      <c r="N9">
        <v>0.59399999999999997</v>
      </c>
      <c r="O9">
        <v>0.97899999999999998</v>
      </c>
      <c r="P9" s="2">
        <f t="shared" si="1"/>
        <v>1.6086349206349206</v>
      </c>
      <c r="Q9" t="str">
        <f t="shared" si="0"/>
        <v>eliptica</v>
      </c>
    </row>
    <row r="10" spans="1:17" x14ac:dyDescent="0.35">
      <c r="A10" t="s">
        <v>12</v>
      </c>
      <c r="B10">
        <v>118.621</v>
      </c>
      <c r="C10">
        <v>120.26900000000001</v>
      </c>
      <c r="D10">
        <v>136</v>
      </c>
      <c r="E10">
        <v>61</v>
      </c>
      <c r="F10">
        <v>153</v>
      </c>
      <c r="G10">
        <v>53.246000000000002</v>
      </c>
      <c r="H10">
        <v>10.026999999999999</v>
      </c>
      <c r="I10">
        <v>15.065</v>
      </c>
      <c r="J10">
        <v>0.52600000000000002</v>
      </c>
      <c r="K10">
        <v>14266.448</v>
      </c>
      <c r="L10">
        <v>125</v>
      </c>
      <c r="M10">
        <v>1.5209999999999999</v>
      </c>
      <c r="N10">
        <v>0.65800000000000003</v>
      </c>
      <c r="O10">
        <v>0.97</v>
      </c>
      <c r="P10" s="2">
        <f t="shared" si="1"/>
        <v>1.5024434028124065</v>
      </c>
      <c r="Q10" t="str">
        <f t="shared" si="0"/>
        <v>eliptica</v>
      </c>
    </row>
    <row r="11" spans="1:17" x14ac:dyDescent="0.35">
      <c r="A11" t="s">
        <v>12</v>
      </c>
      <c r="B11">
        <v>74.08</v>
      </c>
      <c r="C11">
        <v>116.81699999999999</v>
      </c>
      <c r="D11">
        <v>136</v>
      </c>
      <c r="E11">
        <v>59</v>
      </c>
      <c r="F11">
        <v>145</v>
      </c>
      <c r="G11">
        <v>38.180999999999997</v>
      </c>
      <c r="H11">
        <v>7.7279999999999998</v>
      </c>
      <c r="I11">
        <v>12.864000000000001</v>
      </c>
      <c r="J11">
        <v>0.63900000000000001</v>
      </c>
      <c r="K11">
        <v>8653.7250000000004</v>
      </c>
      <c r="L11">
        <v>123</v>
      </c>
      <c r="M11">
        <v>1.774</v>
      </c>
      <c r="N11">
        <v>0.56399999999999995</v>
      </c>
      <c r="O11">
        <v>0.97699999999999998</v>
      </c>
      <c r="P11" s="2">
        <f t="shared" si="1"/>
        <v>1.6645962732919257</v>
      </c>
      <c r="Q11" t="str">
        <f t="shared" si="0"/>
        <v>eliptica</v>
      </c>
    </row>
    <row r="12" spans="1:17" x14ac:dyDescent="0.35">
      <c r="A12" t="s">
        <v>12</v>
      </c>
      <c r="B12">
        <v>159.054</v>
      </c>
      <c r="C12">
        <v>129.85</v>
      </c>
      <c r="D12">
        <v>150</v>
      </c>
      <c r="E12">
        <v>66</v>
      </c>
      <c r="F12">
        <v>165</v>
      </c>
      <c r="G12">
        <v>55.207000000000001</v>
      </c>
      <c r="H12">
        <v>11.054</v>
      </c>
      <c r="I12">
        <v>18.341999999999999</v>
      </c>
      <c r="J12">
        <v>0.65600000000000003</v>
      </c>
      <c r="K12">
        <v>20653.153999999999</v>
      </c>
      <c r="L12">
        <v>136</v>
      </c>
      <c r="M12">
        <v>1.6759999999999999</v>
      </c>
      <c r="N12">
        <v>0.59699999999999998</v>
      </c>
      <c r="O12">
        <v>0.98399999999999999</v>
      </c>
      <c r="P12" s="2">
        <f t="shared" si="1"/>
        <v>1.6593088474760267</v>
      </c>
      <c r="Q12" t="str">
        <f t="shared" si="0"/>
        <v>eliptica</v>
      </c>
    </row>
    <row r="13" spans="1:17" x14ac:dyDescent="0.35">
      <c r="A13" t="s">
        <v>12</v>
      </c>
      <c r="B13">
        <v>115.40900000000001</v>
      </c>
      <c r="C13">
        <v>123.47799999999999</v>
      </c>
      <c r="D13">
        <v>136</v>
      </c>
      <c r="E13">
        <v>62</v>
      </c>
      <c r="F13">
        <v>162</v>
      </c>
      <c r="G13">
        <v>52.454999999999998</v>
      </c>
      <c r="H13">
        <v>10.026999999999999</v>
      </c>
      <c r="I13">
        <v>15.016</v>
      </c>
      <c r="J13">
        <v>0.52700000000000002</v>
      </c>
      <c r="K13">
        <v>14250.436</v>
      </c>
      <c r="L13">
        <v>130</v>
      </c>
      <c r="M13">
        <v>1.482</v>
      </c>
      <c r="N13">
        <v>0.67500000000000004</v>
      </c>
      <c r="O13">
        <v>0.96899999999999997</v>
      </c>
      <c r="P13" s="2">
        <f t="shared" si="1"/>
        <v>1.4975565971875937</v>
      </c>
      <c r="Q13" t="str">
        <f t="shared" si="0"/>
        <v>esferica</v>
      </c>
    </row>
    <row r="14" spans="1:17" x14ac:dyDescent="0.35">
      <c r="A14" t="s">
        <v>12</v>
      </c>
      <c r="B14">
        <v>77.808999999999997</v>
      </c>
      <c r="C14">
        <v>121.554</v>
      </c>
      <c r="D14">
        <v>136</v>
      </c>
      <c r="E14">
        <v>61</v>
      </c>
      <c r="F14">
        <v>149</v>
      </c>
      <c r="G14">
        <v>38.573999999999998</v>
      </c>
      <c r="H14">
        <v>7.7279999999999998</v>
      </c>
      <c r="I14">
        <v>12.717000000000001</v>
      </c>
      <c r="J14">
        <v>0.65700000000000003</v>
      </c>
      <c r="K14">
        <v>9457.982</v>
      </c>
      <c r="L14">
        <v>128</v>
      </c>
      <c r="M14">
        <v>1.655</v>
      </c>
      <c r="N14">
        <v>0.60399999999999998</v>
      </c>
      <c r="O14">
        <v>0.98</v>
      </c>
      <c r="P14" s="2">
        <f t="shared" si="1"/>
        <v>1.6455745341614909</v>
      </c>
      <c r="Q14" t="str">
        <f t="shared" si="0"/>
        <v>eliptica</v>
      </c>
    </row>
    <row r="15" spans="1:17" x14ac:dyDescent="0.35">
      <c r="A15" t="s">
        <v>12</v>
      </c>
      <c r="B15">
        <v>85.492999999999995</v>
      </c>
      <c r="C15">
        <v>116.40900000000001</v>
      </c>
      <c r="D15">
        <v>133</v>
      </c>
      <c r="E15">
        <v>65</v>
      </c>
      <c r="F15">
        <v>146</v>
      </c>
      <c r="G15">
        <v>39.840000000000003</v>
      </c>
      <c r="H15">
        <v>8.9019999999999992</v>
      </c>
      <c r="I15">
        <v>12.032</v>
      </c>
      <c r="J15">
        <v>0.67700000000000005</v>
      </c>
      <c r="K15">
        <v>9952.1980000000003</v>
      </c>
      <c r="L15">
        <v>122</v>
      </c>
      <c r="M15">
        <v>1.349</v>
      </c>
      <c r="N15">
        <v>0.74099999999999999</v>
      </c>
      <c r="O15">
        <v>0.98099999999999998</v>
      </c>
      <c r="P15" s="2">
        <f t="shared" si="1"/>
        <v>1.3516063805886318</v>
      </c>
      <c r="Q15" t="str">
        <f t="shared" si="0"/>
        <v>esferica</v>
      </c>
    </row>
    <row r="16" spans="1:17" x14ac:dyDescent="0.35">
      <c r="A16" t="s">
        <v>12</v>
      </c>
      <c r="B16">
        <v>68.165999999999997</v>
      </c>
      <c r="C16">
        <v>113.095</v>
      </c>
      <c r="D16">
        <v>129</v>
      </c>
      <c r="E16">
        <v>62</v>
      </c>
      <c r="F16">
        <v>143</v>
      </c>
      <c r="G16">
        <v>39.712000000000003</v>
      </c>
      <c r="H16">
        <v>8.07</v>
      </c>
      <c r="I16">
        <v>11.347</v>
      </c>
      <c r="J16">
        <v>0.54300000000000004</v>
      </c>
      <c r="K16">
        <v>7709.2169999999996</v>
      </c>
      <c r="L16">
        <v>118</v>
      </c>
      <c r="M16">
        <v>1.419</v>
      </c>
      <c r="N16">
        <v>0.70499999999999996</v>
      </c>
      <c r="O16">
        <v>0.96899999999999997</v>
      </c>
      <c r="P16" s="2">
        <f t="shared" si="1"/>
        <v>1.4060718711276332</v>
      </c>
      <c r="Q16" t="str">
        <f t="shared" si="0"/>
        <v>esferica</v>
      </c>
    </row>
    <row r="17" spans="1:17" x14ac:dyDescent="0.35">
      <c r="A17" t="s">
        <v>12</v>
      </c>
      <c r="B17">
        <v>98.147999999999996</v>
      </c>
      <c r="C17">
        <v>128.042</v>
      </c>
      <c r="D17">
        <v>143</v>
      </c>
      <c r="E17">
        <v>65</v>
      </c>
      <c r="F17">
        <v>158</v>
      </c>
      <c r="G17">
        <v>40.076999999999998</v>
      </c>
      <c r="H17">
        <v>9.2439999999999998</v>
      </c>
      <c r="I17">
        <v>13.548</v>
      </c>
      <c r="J17">
        <v>0.76800000000000002</v>
      </c>
      <c r="K17">
        <v>12567.073</v>
      </c>
      <c r="L17">
        <v>134</v>
      </c>
      <c r="M17">
        <v>1.5489999999999999</v>
      </c>
      <c r="N17">
        <v>0.64600000000000002</v>
      </c>
      <c r="O17">
        <v>0.98699999999999999</v>
      </c>
      <c r="P17" s="2">
        <f t="shared" si="1"/>
        <v>1.4655993076590221</v>
      </c>
      <c r="Q17" t="str">
        <f t="shared" si="0"/>
        <v>esferica</v>
      </c>
    </row>
    <row r="18" spans="1:17" x14ac:dyDescent="0.35">
      <c r="A18" t="s">
        <v>12</v>
      </c>
      <c r="B18">
        <v>101.038</v>
      </c>
      <c r="C18">
        <v>120.45</v>
      </c>
      <c r="D18">
        <v>138</v>
      </c>
      <c r="E18">
        <v>67</v>
      </c>
      <c r="F18">
        <v>150</v>
      </c>
      <c r="G18">
        <v>42.515999999999998</v>
      </c>
      <c r="H18">
        <v>9.4890000000000008</v>
      </c>
      <c r="I18">
        <v>13.792999999999999</v>
      </c>
      <c r="J18">
        <v>0.70199999999999996</v>
      </c>
      <c r="K18">
        <v>12170.021000000001</v>
      </c>
      <c r="L18">
        <v>126</v>
      </c>
      <c r="M18">
        <v>1.4319999999999999</v>
      </c>
      <c r="N18">
        <v>0.69899999999999995</v>
      </c>
      <c r="O18">
        <v>0.98099999999999998</v>
      </c>
      <c r="P18" s="2">
        <f t="shared" si="1"/>
        <v>1.4535778269575297</v>
      </c>
      <c r="Q18" t="str">
        <f>IF(P18&lt;1,"ovoide",IF(P18&lt;1.5,"esferica",IF(P18&lt;2,"eliptica","alongada")))</f>
        <v>esferica</v>
      </c>
    </row>
    <row r="19" spans="1:17" x14ac:dyDescent="0.35">
      <c r="A19" t="s">
        <v>12</v>
      </c>
      <c r="B19">
        <v>115.76300000000001</v>
      </c>
      <c r="C19">
        <v>126.304</v>
      </c>
      <c r="D19">
        <v>148</v>
      </c>
      <c r="E19">
        <v>62</v>
      </c>
      <c r="F19">
        <v>166</v>
      </c>
      <c r="G19">
        <v>49.476999999999997</v>
      </c>
      <c r="H19">
        <v>9.2439999999999998</v>
      </c>
      <c r="I19">
        <v>16.140999999999998</v>
      </c>
      <c r="J19">
        <v>0.59399999999999997</v>
      </c>
      <c r="K19">
        <v>14621.293</v>
      </c>
      <c r="L19">
        <v>129</v>
      </c>
      <c r="M19">
        <v>1.7649999999999999</v>
      </c>
      <c r="N19">
        <v>0.56599999999999995</v>
      </c>
      <c r="O19">
        <v>0.97299999999999998</v>
      </c>
      <c r="P19" s="2">
        <f t="shared" si="1"/>
        <v>1.7461055819991345</v>
      </c>
      <c r="Q19" t="str">
        <f t="shared" si="0"/>
        <v>eliptica</v>
      </c>
    </row>
    <row r="20" spans="1:17" x14ac:dyDescent="0.35">
      <c r="A20" t="s">
        <v>12</v>
      </c>
      <c r="B20">
        <v>94.744</v>
      </c>
      <c r="C20">
        <v>115.693</v>
      </c>
      <c r="D20">
        <v>128</v>
      </c>
      <c r="E20">
        <v>64</v>
      </c>
      <c r="F20">
        <v>146</v>
      </c>
      <c r="G20">
        <v>50.405999999999999</v>
      </c>
      <c r="H20">
        <v>8.4619999999999997</v>
      </c>
      <c r="I20">
        <v>13.989000000000001</v>
      </c>
      <c r="J20">
        <v>0.46899999999999997</v>
      </c>
      <c r="K20">
        <v>10961.191999999999</v>
      </c>
      <c r="L20">
        <v>121</v>
      </c>
      <c r="M20">
        <v>1.6779999999999999</v>
      </c>
      <c r="N20">
        <v>0.59599999999999997</v>
      </c>
      <c r="O20">
        <v>0.97199999999999998</v>
      </c>
      <c r="P20" s="2">
        <f t="shared" si="1"/>
        <v>1.6531552824391398</v>
      </c>
      <c r="Q20" t="str">
        <f t="shared" si="0"/>
        <v>eliptica</v>
      </c>
    </row>
    <row r="21" spans="1:17" x14ac:dyDescent="0.35">
      <c r="A21" t="s">
        <v>12</v>
      </c>
      <c r="B21">
        <v>105.55500000000001</v>
      </c>
      <c r="C21">
        <v>131.18199999999999</v>
      </c>
      <c r="D21">
        <v>150</v>
      </c>
      <c r="E21">
        <v>65</v>
      </c>
      <c r="F21">
        <v>165</v>
      </c>
      <c r="G21">
        <v>42.81</v>
      </c>
      <c r="H21">
        <v>10.417999999999999</v>
      </c>
      <c r="I21">
        <v>13.255000000000001</v>
      </c>
      <c r="J21">
        <v>0.72399999999999998</v>
      </c>
      <c r="K21">
        <v>13846.944</v>
      </c>
      <c r="L21">
        <v>139</v>
      </c>
      <c r="M21">
        <v>1.2410000000000001</v>
      </c>
      <c r="N21">
        <v>0.80600000000000005</v>
      </c>
      <c r="O21">
        <v>0.98</v>
      </c>
      <c r="P21" s="2">
        <f t="shared" si="1"/>
        <v>1.2723171434056442</v>
      </c>
      <c r="Q21" t="str">
        <f t="shared" si="0"/>
        <v>esferica</v>
      </c>
    </row>
    <row r="22" spans="1:17" x14ac:dyDescent="0.35">
      <c r="A22" t="s">
        <v>12</v>
      </c>
      <c r="B22">
        <v>143.77600000000001</v>
      </c>
      <c r="C22">
        <v>131.827</v>
      </c>
      <c r="D22">
        <v>150</v>
      </c>
      <c r="E22">
        <v>65</v>
      </c>
      <c r="F22">
        <v>161</v>
      </c>
      <c r="G22">
        <v>50.902000000000001</v>
      </c>
      <c r="H22">
        <v>11.005000000000001</v>
      </c>
      <c r="I22">
        <v>16.091999999999999</v>
      </c>
      <c r="J22">
        <v>0.69699999999999995</v>
      </c>
      <c r="K22">
        <v>18953.646000000001</v>
      </c>
      <c r="L22">
        <v>138</v>
      </c>
      <c r="M22">
        <v>1.5289999999999999</v>
      </c>
      <c r="N22">
        <v>0.65400000000000003</v>
      </c>
      <c r="O22">
        <v>0.98299999999999998</v>
      </c>
      <c r="P22" s="2">
        <f t="shared" si="1"/>
        <v>1.4622444343480234</v>
      </c>
      <c r="Q22" t="str">
        <f t="shared" si="0"/>
        <v>esferica</v>
      </c>
    </row>
    <row r="23" spans="1:17" x14ac:dyDescent="0.35">
      <c r="A23" t="s">
        <v>12</v>
      </c>
      <c r="B23">
        <v>111.492</v>
      </c>
      <c r="C23">
        <v>97.185000000000002</v>
      </c>
      <c r="D23">
        <v>103</v>
      </c>
      <c r="E23">
        <v>39</v>
      </c>
      <c r="F23">
        <v>120</v>
      </c>
      <c r="G23">
        <v>51.082000000000001</v>
      </c>
      <c r="H23">
        <v>10.516</v>
      </c>
      <c r="I23">
        <v>13.451000000000001</v>
      </c>
      <c r="J23">
        <v>0.53700000000000003</v>
      </c>
      <c r="K23">
        <v>10835.379000000001</v>
      </c>
      <c r="L23">
        <v>100</v>
      </c>
      <c r="M23">
        <v>1.2769999999999999</v>
      </c>
      <c r="N23">
        <v>0.78300000000000003</v>
      </c>
      <c r="O23">
        <v>0.97299999999999998</v>
      </c>
      <c r="P23" s="2">
        <f t="shared" si="1"/>
        <v>1.2790985165462154</v>
      </c>
      <c r="Q23" t="str">
        <f t="shared" si="0"/>
        <v>esferica</v>
      </c>
    </row>
    <row r="24" spans="1:17" x14ac:dyDescent="0.35">
      <c r="A24" t="s">
        <v>12</v>
      </c>
      <c r="B24">
        <v>116.342</v>
      </c>
      <c r="C24">
        <v>125.509</v>
      </c>
      <c r="D24">
        <v>136</v>
      </c>
      <c r="E24">
        <v>66</v>
      </c>
      <c r="F24">
        <v>154</v>
      </c>
      <c r="G24">
        <v>47.273000000000003</v>
      </c>
      <c r="H24">
        <v>9.391</v>
      </c>
      <c r="I24">
        <v>15.651999999999999</v>
      </c>
      <c r="J24">
        <v>0.65400000000000003</v>
      </c>
      <c r="K24">
        <v>14601.973</v>
      </c>
      <c r="L24">
        <v>132</v>
      </c>
      <c r="M24">
        <v>1.764</v>
      </c>
      <c r="N24">
        <v>0.56699999999999995</v>
      </c>
      <c r="O24">
        <v>0.98199999999999998</v>
      </c>
      <c r="P24" s="2">
        <f t="shared" si="1"/>
        <v>1.6667021616441273</v>
      </c>
      <c r="Q24" t="str">
        <f t="shared" si="0"/>
        <v>eliptica</v>
      </c>
    </row>
    <row r="25" spans="1:17" x14ac:dyDescent="0.35">
      <c r="A25" t="s">
        <v>12</v>
      </c>
      <c r="B25">
        <v>104.179</v>
      </c>
      <c r="C25">
        <v>118.959</v>
      </c>
      <c r="D25">
        <v>136</v>
      </c>
      <c r="E25">
        <v>62</v>
      </c>
      <c r="F25">
        <v>151</v>
      </c>
      <c r="G25">
        <v>45.921999999999997</v>
      </c>
      <c r="H25">
        <v>8.5589999999999993</v>
      </c>
      <c r="I25">
        <v>15.358000000000001</v>
      </c>
      <c r="J25">
        <v>0.621</v>
      </c>
      <c r="K25">
        <v>12393.049000000001</v>
      </c>
      <c r="L25">
        <v>126</v>
      </c>
      <c r="M25">
        <v>1.76</v>
      </c>
      <c r="N25">
        <v>0.56799999999999995</v>
      </c>
      <c r="O25">
        <v>0.97899999999999998</v>
      </c>
      <c r="P25" s="2">
        <f t="shared" si="1"/>
        <v>1.794368500993107</v>
      </c>
      <c r="Q25" t="str">
        <f t="shared" si="0"/>
        <v>eliptica</v>
      </c>
    </row>
    <row r="26" spans="1:17" x14ac:dyDescent="0.35">
      <c r="A26" t="s">
        <v>12</v>
      </c>
      <c r="B26">
        <v>108.002</v>
      </c>
      <c r="C26">
        <v>122.36799999999999</v>
      </c>
      <c r="D26">
        <v>146</v>
      </c>
      <c r="E26">
        <v>63</v>
      </c>
      <c r="F26">
        <v>163</v>
      </c>
      <c r="G26">
        <v>49.731999999999999</v>
      </c>
      <c r="H26" s="1">
        <v>8.6080000000000005</v>
      </c>
      <c r="I26">
        <v>15.554</v>
      </c>
      <c r="J26">
        <v>0.54900000000000004</v>
      </c>
      <c r="K26">
        <v>13215.974</v>
      </c>
      <c r="L26">
        <v>128</v>
      </c>
      <c r="M26">
        <v>1.8140000000000001</v>
      </c>
      <c r="N26">
        <v>0.55100000000000005</v>
      </c>
      <c r="O26">
        <v>0.97599999999999998</v>
      </c>
      <c r="P26" s="2">
        <f t="shared" si="1"/>
        <v>1.8069237918215613</v>
      </c>
      <c r="Q26" t="str">
        <f t="shared" si="0"/>
        <v>eliptica</v>
      </c>
    </row>
    <row r="27" spans="1:17" x14ac:dyDescent="0.35">
      <c r="A27" t="s">
        <v>12</v>
      </c>
      <c r="B27">
        <v>132.679</v>
      </c>
      <c r="C27">
        <v>124.36499999999999</v>
      </c>
      <c r="D27">
        <v>138</v>
      </c>
      <c r="E27">
        <v>66</v>
      </c>
      <c r="F27">
        <v>162</v>
      </c>
      <c r="G27">
        <v>53.475999999999999</v>
      </c>
      <c r="H27" s="1">
        <v>9.9290000000000003</v>
      </c>
      <c r="I27">
        <v>16.238</v>
      </c>
      <c r="J27">
        <v>0.58299999999999996</v>
      </c>
      <c r="K27">
        <v>16500.509999999998</v>
      </c>
      <c r="L27">
        <v>131</v>
      </c>
      <c r="M27">
        <v>1.649</v>
      </c>
      <c r="N27">
        <v>0.60599999999999998</v>
      </c>
      <c r="O27">
        <v>0.98199999999999998</v>
      </c>
      <c r="P27" s="2">
        <f t="shared" si="1"/>
        <v>1.635411421089737</v>
      </c>
      <c r="Q27" t="str">
        <f t="shared" si="0"/>
        <v>eliptica</v>
      </c>
    </row>
    <row r="28" spans="1:17" x14ac:dyDescent="0.35">
      <c r="A28" t="s">
        <v>12</v>
      </c>
      <c r="B28">
        <v>93.638999999999996</v>
      </c>
      <c r="C28">
        <v>113.76</v>
      </c>
      <c r="D28">
        <v>132</v>
      </c>
      <c r="E28">
        <v>62</v>
      </c>
      <c r="F28">
        <v>150</v>
      </c>
      <c r="G28">
        <v>49.466000000000001</v>
      </c>
      <c r="H28" s="1">
        <v>8.9019999999999992</v>
      </c>
      <c r="I28">
        <v>13.989000000000001</v>
      </c>
      <c r="J28">
        <v>0.48099999999999998</v>
      </c>
      <c r="K28">
        <v>10652.331</v>
      </c>
      <c r="L28">
        <v>118</v>
      </c>
      <c r="M28">
        <v>1.6890000000000001</v>
      </c>
      <c r="N28">
        <v>0.59199999999999997</v>
      </c>
      <c r="O28">
        <v>0.96899999999999997</v>
      </c>
      <c r="P28" s="2">
        <f t="shared" si="1"/>
        <v>1.5714446191866998</v>
      </c>
      <c r="Q28" t="str">
        <f t="shared" si="0"/>
        <v>eliptica</v>
      </c>
    </row>
    <row r="29" spans="1:17" x14ac:dyDescent="0.35">
      <c r="A29" t="s">
        <v>12</v>
      </c>
      <c r="B29">
        <v>117.282</v>
      </c>
      <c r="C29">
        <v>123.861</v>
      </c>
      <c r="D29">
        <v>143</v>
      </c>
      <c r="E29">
        <v>62</v>
      </c>
      <c r="F29">
        <v>156</v>
      </c>
      <c r="G29">
        <v>48.293999999999997</v>
      </c>
      <c r="H29" s="1">
        <v>9.3420000000000005</v>
      </c>
      <c r="I29">
        <v>15.456</v>
      </c>
      <c r="J29">
        <v>0.63200000000000001</v>
      </c>
      <c r="K29">
        <v>14526.678</v>
      </c>
      <c r="L29">
        <v>130</v>
      </c>
      <c r="M29">
        <v>1.6619999999999999</v>
      </c>
      <c r="N29">
        <v>0.60199999999999998</v>
      </c>
      <c r="O29">
        <v>0.98099999999999998</v>
      </c>
      <c r="P29" s="2">
        <f t="shared" si="1"/>
        <v>1.6544637122671804</v>
      </c>
      <c r="Q29" t="str">
        <f t="shared" si="0"/>
        <v>eliptica</v>
      </c>
    </row>
    <row r="30" spans="1:17" x14ac:dyDescent="0.35">
      <c r="A30" t="s">
        <v>12</v>
      </c>
      <c r="B30">
        <v>100.414</v>
      </c>
      <c r="C30">
        <v>123.965</v>
      </c>
      <c r="D30">
        <v>150</v>
      </c>
      <c r="E30">
        <v>65</v>
      </c>
      <c r="F30">
        <v>160</v>
      </c>
      <c r="G30">
        <v>46.152000000000001</v>
      </c>
      <c r="H30" s="1">
        <v>9.1950000000000003</v>
      </c>
      <c r="I30">
        <v>13.842000000000001</v>
      </c>
      <c r="J30">
        <v>0.59199999999999997</v>
      </c>
      <c r="K30">
        <v>12447.823</v>
      </c>
      <c r="L30">
        <v>128</v>
      </c>
      <c r="M30">
        <v>1.508</v>
      </c>
      <c r="N30">
        <v>0.66300000000000003</v>
      </c>
      <c r="O30">
        <v>0.97599999999999998</v>
      </c>
      <c r="P30" s="2">
        <f t="shared" si="1"/>
        <v>1.5053833605220228</v>
      </c>
      <c r="Q30" t="str">
        <f t="shared" si="0"/>
        <v>eliptica</v>
      </c>
    </row>
    <row r="31" spans="1:17" x14ac:dyDescent="0.35">
      <c r="A31" t="s">
        <v>12</v>
      </c>
      <c r="B31">
        <v>95.451999999999998</v>
      </c>
      <c r="C31">
        <v>121.26</v>
      </c>
      <c r="D31">
        <v>142</v>
      </c>
      <c r="E31">
        <v>65</v>
      </c>
      <c r="F31">
        <v>152</v>
      </c>
      <c r="G31">
        <v>44.255000000000003</v>
      </c>
      <c r="H31" s="1">
        <v>9.0489999999999995</v>
      </c>
      <c r="I31">
        <v>13.548</v>
      </c>
      <c r="J31">
        <v>0.61199999999999999</v>
      </c>
      <c r="K31">
        <v>11574.516</v>
      </c>
      <c r="L31">
        <v>127</v>
      </c>
      <c r="M31">
        <v>1.534</v>
      </c>
      <c r="N31">
        <v>0.65200000000000002</v>
      </c>
      <c r="O31">
        <v>0.97799999999999998</v>
      </c>
      <c r="P31" s="2">
        <f t="shared" si="1"/>
        <v>1.4971820090617749</v>
      </c>
      <c r="Q31" t="str">
        <f t="shared" si="0"/>
        <v>esferica</v>
      </c>
    </row>
    <row r="32" spans="1:17" x14ac:dyDescent="0.35">
      <c r="A32" t="s">
        <v>12</v>
      </c>
      <c r="B32">
        <v>108.99299999999999</v>
      </c>
      <c r="C32">
        <v>127.426</v>
      </c>
      <c r="D32">
        <v>153</v>
      </c>
      <c r="E32">
        <v>63</v>
      </c>
      <c r="F32">
        <v>164</v>
      </c>
      <c r="G32">
        <v>46.573999999999998</v>
      </c>
      <c r="H32" s="1">
        <v>9.6839999999999993</v>
      </c>
      <c r="I32">
        <v>14.183999999999999</v>
      </c>
      <c r="J32">
        <v>0.63100000000000001</v>
      </c>
      <c r="K32">
        <v>13888.455</v>
      </c>
      <c r="L32">
        <v>134</v>
      </c>
      <c r="M32">
        <v>1.4419999999999999</v>
      </c>
      <c r="N32">
        <v>0.69399999999999995</v>
      </c>
      <c r="O32">
        <v>0.97799999999999998</v>
      </c>
      <c r="P32" s="2">
        <f t="shared" si="1"/>
        <v>1.4646840148698885</v>
      </c>
      <c r="Q32" t="str">
        <f t="shared" si="0"/>
        <v>esferica</v>
      </c>
    </row>
    <row r="33" spans="1:17" x14ac:dyDescent="0.35">
      <c r="A33" t="s">
        <v>12</v>
      </c>
      <c r="B33">
        <v>127.925</v>
      </c>
      <c r="C33">
        <v>124.081</v>
      </c>
      <c r="D33">
        <v>143</v>
      </c>
      <c r="E33">
        <v>63</v>
      </c>
      <c r="F33">
        <v>162</v>
      </c>
      <c r="G33">
        <v>54.457000000000001</v>
      </c>
      <c r="H33" s="1">
        <v>9.782</v>
      </c>
      <c r="I33">
        <v>16.385000000000002</v>
      </c>
      <c r="J33">
        <v>0.54200000000000004</v>
      </c>
      <c r="K33">
        <v>15873.08</v>
      </c>
      <c r="L33">
        <v>132</v>
      </c>
      <c r="M33">
        <v>1.679</v>
      </c>
      <c r="N33">
        <v>0.59599999999999997</v>
      </c>
      <c r="O33">
        <v>0.98</v>
      </c>
      <c r="P33" s="2">
        <f t="shared" si="1"/>
        <v>1.675015334287467</v>
      </c>
      <c r="Q33" t="str">
        <f t="shared" si="0"/>
        <v>eliptica</v>
      </c>
    </row>
    <row r="34" spans="1:17" x14ac:dyDescent="0.35">
      <c r="A34" t="s">
        <v>12</v>
      </c>
      <c r="B34">
        <v>137.011</v>
      </c>
      <c r="C34">
        <v>130.92500000000001</v>
      </c>
      <c r="D34">
        <v>153</v>
      </c>
      <c r="E34">
        <v>67</v>
      </c>
      <c r="F34">
        <v>168</v>
      </c>
      <c r="G34">
        <v>49.914000000000001</v>
      </c>
      <c r="H34" s="1">
        <v>10.271000000000001</v>
      </c>
      <c r="I34">
        <v>16.483000000000001</v>
      </c>
      <c r="J34">
        <v>0.69099999999999995</v>
      </c>
      <c r="K34">
        <v>17938.147000000001</v>
      </c>
      <c r="L34">
        <v>140</v>
      </c>
      <c r="M34">
        <v>1.581</v>
      </c>
      <c r="N34">
        <v>0.63300000000000001</v>
      </c>
      <c r="O34">
        <v>0.98399999999999999</v>
      </c>
      <c r="P34" s="2">
        <f t="shared" si="1"/>
        <v>1.6048096582611235</v>
      </c>
      <c r="Q34" t="str">
        <f t="shared" si="0"/>
        <v>eliptica</v>
      </c>
    </row>
    <row r="35" spans="1:17" x14ac:dyDescent="0.35">
      <c r="A35" t="s">
        <v>12</v>
      </c>
      <c r="B35">
        <v>102.813</v>
      </c>
      <c r="C35">
        <v>119.682</v>
      </c>
      <c r="D35">
        <v>147</v>
      </c>
      <c r="E35">
        <v>61</v>
      </c>
      <c r="F35">
        <v>157</v>
      </c>
      <c r="G35">
        <v>48.066000000000003</v>
      </c>
      <c r="H35" s="1">
        <v>9.2929999999999993</v>
      </c>
      <c r="I35">
        <v>14.086</v>
      </c>
      <c r="J35">
        <v>0.55900000000000005</v>
      </c>
      <c r="K35">
        <v>12304.855</v>
      </c>
      <c r="L35">
        <v>125</v>
      </c>
      <c r="M35">
        <v>1.498</v>
      </c>
      <c r="N35">
        <v>0.66700000000000004</v>
      </c>
      <c r="O35">
        <v>0.97099999999999997</v>
      </c>
      <c r="P35" s="2">
        <f t="shared" si="1"/>
        <v>1.5157645539653504</v>
      </c>
      <c r="Q35" t="str">
        <f t="shared" si="0"/>
        <v>eliptica</v>
      </c>
    </row>
    <row r="36" spans="1:17" x14ac:dyDescent="0.35">
      <c r="A36" t="s">
        <v>12</v>
      </c>
      <c r="B36">
        <v>102.55500000000001</v>
      </c>
      <c r="C36">
        <v>131.096</v>
      </c>
      <c r="D36">
        <v>153</v>
      </c>
      <c r="E36">
        <v>66</v>
      </c>
      <c r="F36">
        <v>165</v>
      </c>
      <c r="G36">
        <v>44.436</v>
      </c>
      <c r="H36" s="1">
        <v>10.076000000000001</v>
      </c>
      <c r="I36">
        <v>12.913</v>
      </c>
      <c r="J36">
        <v>0.65300000000000002</v>
      </c>
      <c r="K36">
        <v>13444.561</v>
      </c>
      <c r="L36">
        <v>140</v>
      </c>
      <c r="M36">
        <v>1.2929999999999999</v>
      </c>
      <c r="N36">
        <v>0.77400000000000002</v>
      </c>
      <c r="O36">
        <v>0.98</v>
      </c>
      <c r="P36" s="2">
        <f t="shared" si="1"/>
        <v>1.2815601429138546</v>
      </c>
      <c r="Q36" t="str">
        <f t="shared" si="0"/>
        <v>esferica</v>
      </c>
    </row>
    <row r="37" spans="1:17" x14ac:dyDescent="0.35">
      <c r="A37" t="s">
        <v>12</v>
      </c>
      <c r="B37">
        <v>93.569000000000003</v>
      </c>
      <c r="C37">
        <v>121.4</v>
      </c>
      <c r="D37">
        <v>139</v>
      </c>
      <c r="E37">
        <v>64</v>
      </c>
      <c r="F37">
        <v>151</v>
      </c>
      <c r="G37">
        <v>43.665999999999997</v>
      </c>
      <c r="H37" s="1">
        <v>7.9720000000000004</v>
      </c>
      <c r="I37">
        <v>14.967000000000001</v>
      </c>
      <c r="J37">
        <v>0.61699999999999999</v>
      </c>
      <c r="K37">
        <v>11359.359</v>
      </c>
      <c r="L37">
        <v>128</v>
      </c>
      <c r="M37">
        <v>1.9119999999999999</v>
      </c>
      <c r="N37">
        <v>0.52300000000000002</v>
      </c>
      <c r="O37">
        <v>0.97899999999999998</v>
      </c>
      <c r="P37" s="2">
        <f t="shared" si="1"/>
        <v>1.8774460612142498</v>
      </c>
      <c r="Q37" t="str">
        <f t="shared" si="0"/>
        <v>eliptica</v>
      </c>
    </row>
    <row r="38" spans="1:17" x14ac:dyDescent="0.35">
      <c r="A38" t="s">
        <v>12</v>
      </c>
      <c r="B38">
        <v>94.156000000000006</v>
      </c>
      <c r="C38">
        <v>102.736</v>
      </c>
      <c r="D38">
        <v>112</v>
      </c>
      <c r="E38">
        <v>65</v>
      </c>
      <c r="F38">
        <v>138</v>
      </c>
      <c r="G38">
        <v>45.488</v>
      </c>
      <c r="H38" s="1">
        <v>8.6080000000000005</v>
      </c>
      <c r="I38">
        <v>14.38</v>
      </c>
      <c r="J38">
        <v>0.57199999999999995</v>
      </c>
      <c r="K38">
        <v>9673.2039999999997</v>
      </c>
      <c r="L38">
        <v>105</v>
      </c>
      <c r="M38">
        <v>1.657</v>
      </c>
      <c r="N38">
        <v>0.60399999999999998</v>
      </c>
      <c r="O38">
        <v>0.97499999999999998</v>
      </c>
      <c r="P38" s="2">
        <f t="shared" si="1"/>
        <v>1.670539033457249</v>
      </c>
      <c r="Q38" t="str">
        <f t="shared" si="0"/>
        <v>eliptica</v>
      </c>
    </row>
    <row r="39" spans="1:17" x14ac:dyDescent="0.35">
      <c r="A39" t="s">
        <v>12</v>
      </c>
      <c r="B39">
        <v>117.55200000000001</v>
      </c>
      <c r="C39">
        <v>129.40899999999999</v>
      </c>
      <c r="D39">
        <v>153</v>
      </c>
      <c r="E39">
        <v>66</v>
      </c>
      <c r="F39">
        <v>167</v>
      </c>
      <c r="G39">
        <v>44.957000000000001</v>
      </c>
      <c r="H39" s="1">
        <v>10.369</v>
      </c>
      <c r="I39">
        <v>14.38</v>
      </c>
      <c r="J39">
        <v>0.73099999999999998</v>
      </c>
      <c r="K39">
        <v>15212.31</v>
      </c>
      <c r="L39">
        <v>135</v>
      </c>
      <c r="M39">
        <v>1.4119999999999999</v>
      </c>
      <c r="N39">
        <v>0.70799999999999996</v>
      </c>
      <c r="O39">
        <v>0.98499999999999999</v>
      </c>
      <c r="P39" s="2">
        <f t="shared" si="1"/>
        <v>1.3868261163082265</v>
      </c>
      <c r="Q39" t="str">
        <f t="shared" si="0"/>
        <v>esferica</v>
      </c>
    </row>
    <row r="40" spans="1:17" x14ac:dyDescent="0.35">
      <c r="A40" t="s">
        <v>12</v>
      </c>
      <c r="B40">
        <v>79.893000000000001</v>
      </c>
      <c r="C40">
        <v>122.033</v>
      </c>
      <c r="D40">
        <v>137</v>
      </c>
      <c r="E40">
        <v>68</v>
      </c>
      <c r="F40">
        <v>149</v>
      </c>
      <c r="G40">
        <v>38.049999999999997</v>
      </c>
      <c r="H40" s="1">
        <v>7.0430000000000001</v>
      </c>
      <c r="I40">
        <v>14.037000000000001</v>
      </c>
      <c r="J40">
        <v>0.69299999999999995</v>
      </c>
      <c r="K40">
        <v>9749.5709999999999</v>
      </c>
      <c r="L40">
        <v>127</v>
      </c>
      <c r="M40">
        <v>1.99</v>
      </c>
      <c r="N40">
        <v>0.503</v>
      </c>
      <c r="O40">
        <v>0.98499999999999999</v>
      </c>
      <c r="P40" s="2">
        <f t="shared" si="1"/>
        <v>1.9930427374698283</v>
      </c>
      <c r="Q40" t="str">
        <f t="shared" si="0"/>
        <v>eliptica</v>
      </c>
    </row>
    <row r="41" spans="1:17" x14ac:dyDescent="0.35">
      <c r="A41" t="s">
        <v>12</v>
      </c>
      <c r="B41">
        <v>128.03</v>
      </c>
      <c r="C41">
        <v>104.73399999999999</v>
      </c>
      <c r="D41">
        <v>112</v>
      </c>
      <c r="E41">
        <v>64</v>
      </c>
      <c r="F41">
        <v>131</v>
      </c>
      <c r="G41">
        <v>59.262999999999998</v>
      </c>
      <c r="H41" s="1">
        <v>10.76</v>
      </c>
      <c r="I41">
        <v>15.162000000000001</v>
      </c>
      <c r="J41">
        <v>0.45800000000000002</v>
      </c>
      <c r="K41">
        <v>13409.124</v>
      </c>
      <c r="L41">
        <v>108</v>
      </c>
      <c r="M41">
        <v>1.4450000000000001</v>
      </c>
      <c r="N41">
        <v>0.69199999999999995</v>
      </c>
      <c r="O41">
        <v>0.97499999999999998</v>
      </c>
      <c r="P41" s="2">
        <f t="shared" si="1"/>
        <v>1.40910780669145</v>
      </c>
      <c r="Q41" t="str">
        <f t="shared" si="0"/>
        <v>esferica</v>
      </c>
    </row>
    <row r="42" spans="1:17" x14ac:dyDescent="0.35">
      <c r="A42" t="s">
        <v>12</v>
      </c>
      <c r="B42">
        <v>157.255</v>
      </c>
      <c r="C42">
        <v>134.90299999999999</v>
      </c>
      <c r="D42">
        <v>147</v>
      </c>
      <c r="E42">
        <v>61</v>
      </c>
      <c r="F42">
        <v>170</v>
      </c>
      <c r="G42">
        <v>56.323999999999998</v>
      </c>
      <c r="H42" s="1">
        <v>10.76</v>
      </c>
      <c r="I42">
        <v>18.341999999999999</v>
      </c>
      <c r="J42">
        <v>0.623</v>
      </c>
      <c r="K42">
        <v>21214.120999999999</v>
      </c>
      <c r="L42">
        <v>141</v>
      </c>
      <c r="M42">
        <v>1.714</v>
      </c>
      <c r="N42">
        <v>0.58299999999999996</v>
      </c>
      <c r="O42">
        <v>0.97799999999999998</v>
      </c>
      <c r="P42" s="2">
        <f t="shared" si="1"/>
        <v>1.7046468401486987</v>
      </c>
      <c r="Q42" t="str">
        <f t="shared" si="0"/>
        <v>eliptica</v>
      </c>
    </row>
    <row r="43" spans="1:17" x14ac:dyDescent="0.35">
      <c r="A43" t="s">
        <v>12</v>
      </c>
      <c r="B43">
        <v>85.662999999999997</v>
      </c>
      <c r="C43">
        <v>122.825</v>
      </c>
      <c r="D43">
        <v>142</v>
      </c>
      <c r="E43">
        <v>60</v>
      </c>
      <c r="F43">
        <v>156</v>
      </c>
      <c r="G43">
        <v>42.085000000000001</v>
      </c>
      <c r="H43" s="1">
        <v>8.2170000000000005</v>
      </c>
      <c r="I43">
        <v>13.989000000000001</v>
      </c>
      <c r="J43">
        <v>0.60799999999999998</v>
      </c>
      <c r="K43">
        <v>10521.516</v>
      </c>
      <c r="L43">
        <v>129</v>
      </c>
      <c r="M43">
        <v>1.8109999999999999</v>
      </c>
      <c r="N43">
        <v>0.55200000000000005</v>
      </c>
      <c r="O43">
        <v>0.97599999999999998</v>
      </c>
      <c r="P43" s="2">
        <f t="shared" si="1"/>
        <v>1.7024461482292808</v>
      </c>
      <c r="Q43" t="str">
        <f t="shared" si="0"/>
        <v>eliptica</v>
      </c>
    </row>
    <row r="44" spans="1:17" x14ac:dyDescent="0.35">
      <c r="A44" t="s">
        <v>12</v>
      </c>
      <c r="B44">
        <v>108.514</v>
      </c>
      <c r="C44">
        <v>121.553</v>
      </c>
      <c r="D44">
        <v>142</v>
      </c>
      <c r="E44">
        <v>62</v>
      </c>
      <c r="F44">
        <v>156</v>
      </c>
      <c r="G44">
        <v>50.209000000000003</v>
      </c>
      <c r="H44" s="1">
        <v>9.2929999999999993</v>
      </c>
      <c r="I44">
        <v>15.065</v>
      </c>
      <c r="J44">
        <v>0.54100000000000004</v>
      </c>
      <c r="K44">
        <v>13190.19</v>
      </c>
      <c r="L44">
        <v>127</v>
      </c>
      <c r="M44">
        <v>1.6839999999999999</v>
      </c>
      <c r="N44">
        <v>0.59399999999999997</v>
      </c>
      <c r="O44">
        <v>0.97099999999999997</v>
      </c>
      <c r="P44" s="2">
        <f t="shared" si="1"/>
        <v>1.6211126654471109</v>
      </c>
      <c r="Q44" t="str">
        <f t="shared" si="0"/>
        <v>eliptica</v>
      </c>
    </row>
    <row r="45" spans="1:17" x14ac:dyDescent="0.35">
      <c r="A45" t="s">
        <v>12</v>
      </c>
      <c r="B45">
        <v>111.29900000000001</v>
      </c>
      <c r="C45">
        <v>104.462</v>
      </c>
      <c r="D45">
        <v>115</v>
      </c>
      <c r="E45">
        <v>61</v>
      </c>
      <c r="F45">
        <v>131</v>
      </c>
      <c r="G45">
        <v>54.957000000000001</v>
      </c>
      <c r="H45" s="1">
        <v>9.782</v>
      </c>
      <c r="I45">
        <v>14.38</v>
      </c>
      <c r="J45">
        <v>0.46300000000000002</v>
      </c>
      <c r="K45">
        <v>11626.47</v>
      </c>
      <c r="L45">
        <v>108</v>
      </c>
      <c r="M45">
        <v>1.54</v>
      </c>
      <c r="N45">
        <v>0.64900000000000002</v>
      </c>
      <c r="O45">
        <v>0.97199999999999998</v>
      </c>
      <c r="P45" s="2">
        <f t="shared" si="1"/>
        <v>1.4700470251482316</v>
      </c>
      <c r="Q45" t="str">
        <f t="shared" si="0"/>
        <v>esferica</v>
      </c>
    </row>
    <row r="46" spans="1:17" x14ac:dyDescent="0.35">
      <c r="A46" t="s">
        <v>12</v>
      </c>
      <c r="B46">
        <v>96.581000000000003</v>
      </c>
      <c r="C46">
        <v>119.32299999999999</v>
      </c>
      <c r="D46">
        <v>142</v>
      </c>
      <c r="E46">
        <v>64</v>
      </c>
      <c r="F46">
        <v>151</v>
      </c>
      <c r="G46">
        <v>49.356000000000002</v>
      </c>
      <c r="H46" s="1">
        <v>8.5109999999999992</v>
      </c>
      <c r="I46">
        <v>14.38</v>
      </c>
      <c r="J46">
        <v>0.498</v>
      </c>
      <c r="K46">
        <v>11524.405000000001</v>
      </c>
      <c r="L46">
        <v>124</v>
      </c>
      <c r="M46">
        <v>1.718</v>
      </c>
      <c r="N46">
        <v>0.58199999999999996</v>
      </c>
      <c r="O46">
        <v>0.97399999999999998</v>
      </c>
      <c r="P46" s="2">
        <f t="shared" si="1"/>
        <v>1.6895781929268008</v>
      </c>
      <c r="Q46" t="str">
        <f t="shared" si="0"/>
        <v>eliptica</v>
      </c>
    </row>
    <row r="47" spans="1:17" x14ac:dyDescent="0.35">
      <c r="A47" t="s">
        <v>12</v>
      </c>
      <c r="B47">
        <v>166.61099999999999</v>
      </c>
      <c r="C47">
        <v>129.19300000000001</v>
      </c>
      <c r="D47">
        <v>132</v>
      </c>
      <c r="E47">
        <v>65</v>
      </c>
      <c r="F47">
        <v>167</v>
      </c>
      <c r="G47">
        <v>53.088000000000001</v>
      </c>
      <c r="H47" s="1">
        <v>11.396000000000001</v>
      </c>
      <c r="I47">
        <v>17.510000000000002</v>
      </c>
      <c r="J47">
        <v>0.74299999999999999</v>
      </c>
      <c r="K47">
        <v>21524.938999999998</v>
      </c>
      <c r="L47">
        <v>134</v>
      </c>
      <c r="M47">
        <v>1.546</v>
      </c>
      <c r="N47">
        <v>0.64700000000000002</v>
      </c>
      <c r="O47">
        <v>0.98799999999999999</v>
      </c>
      <c r="P47" s="2">
        <f t="shared" si="1"/>
        <v>1.5365040365040366</v>
      </c>
      <c r="Q47" t="str">
        <f t="shared" si="0"/>
        <v>eliptica</v>
      </c>
    </row>
    <row r="48" spans="1:17" x14ac:dyDescent="0.35">
      <c r="A48" t="s">
        <v>12</v>
      </c>
      <c r="B48">
        <v>93.623999999999995</v>
      </c>
      <c r="C48">
        <v>123.253</v>
      </c>
      <c r="D48">
        <v>138</v>
      </c>
      <c r="E48">
        <v>66</v>
      </c>
      <c r="F48">
        <v>156</v>
      </c>
      <c r="G48">
        <v>43.085999999999999</v>
      </c>
      <c r="H48" s="1">
        <v>8.6080000000000005</v>
      </c>
      <c r="I48">
        <v>14.135</v>
      </c>
      <c r="J48">
        <v>0.63400000000000001</v>
      </c>
      <c r="K48">
        <v>11539.489</v>
      </c>
      <c r="L48">
        <v>129</v>
      </c>
      <c r="M48">
        <v>1.6319999999999999</v>
      </c>
      <c r="N48">
        <v>0.61299999999999999</v>
      </c>
      <c r="O48">
        <v>0.97599999999999998</v>
      </c>
      <c r="P48" s="2">
        <f t="shared" si="1"/>
        <v>1.6420771375464682</v>
      </c>
      <c r="Q48" t="str">
        <f t="shared" si="0"/>
        <v>eliptica</v>
      </c>
    </row>
    <row r="49" spans="1:17" x14ac:dyDescent="0.35">
      <c r="A49" t="s">
        <v>12</v>
      </c>
      <c r="B49">
        <v>87.581999999999994</v>
      </c>
      <c r="C49">
        <v>122.20399999999999</v>
      </c>
      <c r="D49">
        <v>135</v>
      </c>
      <c r="E49">
        <v>65</v>
      </c>
      <c r="F49">
        <v>152</v>
      </c>
      <c r="G49">
        <v>42.933999999999997</v>
      </c>
      <c r="H49" s="1">
        <v>7.5810000000000004</v>
      </c>
      <c r="I49">
        <v>15.113</v>
      </c>
      <c r="J49">
        <v>0.59699999999999998</v>
      </c>
      <c r="K49">
        <v>10702.813</v>
      </c>
      <c r="L49">
        <v>128</v>
      </c>
      <c r="M49">
        <v>1.974</v>
      </c>
      <c r="N49">
        <v>0.50700000000000001</v>
      </c>
      <c r="O49">
        <v>0.97499999999999998</v>
      </c>
      <c r="P49" s="2">
        <f t="shared" si="1"/>
        <v>1.9935364727608493</v>
      </c>
      <c r="Q49" t="str">
        <f t="shared" si="0"/>
        <v>eliptica</v>
      </c>
    </row>
    <row r="50" spans="1:17" x14ac:dyDescent="0.35">
      <c r="A50" t="s">
        <v>12</v>
      </c>
      <c r="B50">
        <v>128.81700000000001</v>
      </c>
      <c r="C50">
        <v>125.318</v>
      </c>
      <c r="D50">
        <v>146</v>
      </c>
      <c r="E50">
        <v>63</v>
      </c>
      <c r="F50">
        <v>167</v>
      </c>
      <c r="G50">
        <v>59.719000000000001</v>
      </c>
      <c r="H50" s="1">
        <v>9.8309999999999995</v>
      </c>
      <c r="I50">
        <v>16.776</v>
      </c>
      <c r="J50">
        <v>0.45400000000000001</v>
      </c>
      <c r="K50">
        <v>16143.117</v>
      </c>
      <c r="L50">
        <v>132</v>
      </c>
      <c r="M50">
        <v>1.7549999999999999</v>
      </c>
      <c r="N50">
        <v>0.56999999999999995</v>
      </c>
      <c r="O50">
        <v>0.97299999999999998</v>
      </c>
      <c r="P50" s="2">
        <f t="shared" si="1"/>
        <v>1.7064388159902351</v>
      </c>
      <c r="Q50" t="str">
        <f t="shared" si="0"/>
        <v>eliptica</v>
      </c>
    </row>
    <row r="51" spans="1:17" x14ac:dyDescent="0.35">
      <c r="A51" t="s">
        <v>12</v>
      </c>
      <c r="B51">
        <v>125.148</v>
      </c>
      <c r="C51">
        <v>128.38999999999999</v>
      </c>
      <c r="D51">
        <v>150</v>
      </c>
      <c r="E51">
        <v>67</v>
      </c>
      <c r="F51">
        <v>163</v>
      </c>
      <c r="G51">
        <v>46.667000000000002</v>
      </c>
      <c r="H51" s="1">
        <v>10.516</v>
      </c>
      <c r="I51">
        <v>14.574999999999999</v>
      </c>
      <c r="J51">
        <v>0.72199999999999998</v>
      </c>
      <c r="K51">
        <v>16067.691000000001</v>
      </c>
      <c r="L51">
        <v>136</v>
      </c>
      <c r="M51">
        <v>1.4019999999999999</v>
      </c>
      <c r="N51">
        <v>0.71299999999999997</v>
      </c>
      <c r="O51">
        <v>0.98599999999999999</v>
      </c>
      <c r="P51" s="2">
        <f t="shared" si="1"/>
        <v>1.3859832635983262</v>
      </c>
      <c r="Q51" t="str">
        <f t="shared" si="0"/>
        <v>esferica</v>
      </c>
    </row>
    <row r="52" spans="1:17" x14ac:dyDescent="0.35">
      <c r="A52" t="s">
        <v>12</v>
      </c>
      <c r="B52">
        <v>103.18600000000001</v>
      </c>
      <c r="C52">
        <v>95.501999999999995</v>
      </c>
      <c r="D52">
        <v>105</v>
      </c>
      <c r="E52">
        <v>58</v>
      </c>
      <c r="F52">
        <v>118</v>
      </c>
      <c r="G52">
        <v>52.136000000000003</v>
      </c>
      <c r="H52">
        <v>8.657</v>
      </c>
      <c r="I52">
        <v>16.091999999999999</v>
      </c>
      <c r="J52">
        <v>0.47699999999999998</v>
      </c>
      <c r="K52">
        <v>9854.4680000000008</v>
      </c>
      <c r="L52">
        <v>99</v>
      </c>
      <c r="M52">
        <v>1.972</v>
      </c>
      <c r="N52">
        <v>0.50700000000000001</v>
      </c>
      <c r="O52">
        <v>0.97099999999999997</v>
      </c>
      <c r="P52" s="2">
        <f t="shared" si="1"/>
        <v>1.8588425551576757</v>
      </c>
      <c r="Q52" t="str">
        <f t="shared" si="0"/>
        <v>eliptica</v>
      </c>
    </row>
    <row r="53" spans="1:17" x14ac:dyDescent="0.35">
      <c r="A53" t="s">
        <v>12</v>
      </c>
      <c r="B53">
        <v>96.203000000000003</v>
      </c>
      <c r="C53">
        <v>116.249</v>
      </c>
      <c r="D53">
        <v>134</v>
      </c>
      <c r="E53">
        <v>64</v>
      </c>
      <c r="F53">
        <v>147</v>
      </c>
      <c r="G53">
        <v>43.171999999999997</v>
      </c>
      <c r="H53">
        <v>8.3149999999999995</v>
      </c>
      <c r="I53">
        <v>15.162000000000001</v>
      </c>
      <c r="J53">
        <v>0.64900000000000002</v>
      </c>
      <c r="K53">
        <v>11183.552</v>
      </c>
      <c r="L53">
        <v>121</v>
      </c>
      <c r="M53">
        <v>1.8859999999999999</v>
      </c>
      <c r="N53">
        <v>0.53</v>
      </c>
      <c r="O53">
        <v>0.98199999999999998</v>
      </c>
      <c r="P53" s="2">
        <f t="shared" si="1"/>
        <v>1.8234515935057127</v>
      </c>
      <c r="Q53" t="str">
        <f t="shared" si="0"/>
        <v>eliptica</v>
      </c>
    </row>
    <row r="54" spans="1:17" x14ac:dyDescent="0.35">
      <c r="A54" t="s">
        <v>12</v>
      </c>
      <c r="B54">
        <v>102.756</v>
      </c>
      <c r="C54">
        <v>132.315</v>
      </c>
      <c r="D54">
        <v>157</v>
      </c>
      <c r="E54">
        <v>65</v>
      </c>
      <c r="F54">
        <v>167</v>
      </c>
      <c r="G54">
        <v>42.987000000000002</v>
      </c>
      <c r="H54">
        <v>9.782</v>
      </c>
      <c r="I54">
        <v>13.792999999999999</v>
      </c>
      <c r="J54">
        <v>0.69899999999999995</v>
      </c>
      <c r="K54">
        <v>13596.147999999999</v>
      </c>
      <c r="L54">
        <v>140</v>
      </c>
      <c r="M54">
        <v>1.41</v>
      </c>
      <c r="N54">
        <v>0.70899999999999996</v>
      </c>
      <c r="O54">
        <v>0.97499999999999998</v>
      </c>
      <c r="P54" s="2">
        <f t="shared" si="1"/>
        <v>1.4100388468615823</v>
      </c>
      <c r="Q54" t="str">
        <f t="shared" si="0"/>
        <v>esferica</v>
      </c>
    </row>
    <row r="55" spans="1:17" x14ac:dyDescent="0.35">
      <c r="A55" t="s">
        <v>12</v>
      </c>
      <c r="B55">
        <v>78.790000000000006</v>
      </c>
      <c r="C55">
        <v>124.771</v>
      </c>
      <c r="D55">
        <v>143</v>
      </c>
      <c r="E55">
        <v>63</v>
      </c>
      <c r="F55">
        <v>155</v>
      </c>
      <c r="G55">
        <v>39.646999999999998</v>
      </c>
      <c r="H55">
        <v>7.141</v>
      </c>
      <c r="I55">
        <v>14.526999999999999</v>
      </c>
      <c r="J55">
        <v>0.63</v>
      </c>
      <c r="K55">
        <v>9830.6740000000009</v>
      </c>
      <c r="L55">
        <v>134</v>
      </c>
      <c r="M55">
        <v>2.0219999999999998</v>
      </c>
      <c r="N55">
        <v>0.49399999999999999</v>
      </c>
      <c r="O55">
        <v>0.98</v>
      </c>
      <c r="P55" s="2">
        <f t="shared" si="1"/>
        <v>2.0343089203192828</v>
      </c>
      <c r="Q55" t="str">
        <f t="shared" si="0"/>
        <v>alongada</v>
      </c>
    </row>
    <row r="56" spans="1:17" x14ac:dyDescent="0.35">
      <c r="A56" t="s">
        <v>12</v>
      </c>
      <c r="B56">
        <v>83.498000000000005</v>
      </c>
      <c r="C56">
        <v>123.212</v>
      </c>
      <c r="D56">
        <v>140</v>
      </c>
      <c r="E56">
        <v>64</v>
      </c>
      <c r="F56">
        <v>156</v>
      </c>
      <c r="G56">
        <v>40.283999999999999</v>
      </c>
      <c r="H56">
        <v>7.7279999999999998</v>
      </c>
      <c r="I56">
        <v>13.304</v>
      </c>
      <c r="J56">
        <v>0.64700000000000002</v>
      </c>
      <c r="K56">
        <v>10287.912</v>
      </c>
      <c r="L56">
        <v>129</v>
      </c>
      <c r="M56">
        <v>1.7509999999999999</v>
      </c>
      <c r="N56">
        <v>0.57099999999999995</v>
      </c>
      <c r="O56">
        <v>0.97899999999999998</v>
      </c>
      <c r="P56" s="2">
        <f t="shared" si="1"/>
        <v>1.7215320910973086</v>
      </c>
      <c r="Q56" t="str">
        <f t="shared" si="0"/>
        <v>eliptica</v>
      </c>
    </row>
    <row r="57" spans="1:17" x14ac:dyDescent="0.35">
      <c r="A57" t="s">
        <v>12</v>
      </c>
      <c r="B57">
        <v>119.806</v>
      </c>
      <c r="C57">
        <v>119.16200000000001</v>
      </c>
      <c r="D57">
        <v>142</v>
      </c>
      <c r="E57">
        <v>57</v>
      </c>
      <c r="F57">
        <v>154</v>
      </c>
      <c r="G57">
        <v>53.09</v>
      </c>
      <c r="H57">
        <v>9.391</v>
      </c>
      <c r="I57">
        <v>16.140999999999998</v>
      </c>
      <c r="J57">
        <v>0.53400000000000003</v>
      </c>
      <c r="K57">
        <v>14276.227000000001</v>
      </c>
      <c r="L57">
        <v>128</v>
      </c>
      <c r="M57">
        <v>1.8120000000000001</v>
      </c>
      <c r="N57">
        <v>0.55200000000000005</v>
      </c>
      <c r="O57">
        <v>0.97899999999999998</v>
      </c>
      <c r="P57" s="2">
        <f t="shared" si="1"/>
        <v>1.7187732935789584</v>
      </c>
      <c r="Q57" t="str">
        <f t="shared" si="0"/>
        <v>eliptica</v>
      </c>
    </row>
    <row r="58" spans="1:17" x14ac:dyDescent="0.35">
      <c r="A58" t="s">
        <v>12</v>
      </c>
      <c r="B58">
        <v>119.239</v>
      </c>
      <c r="C58">
        <v>99.114999999999995</v>
      </c>
      <c r="D58">
        <v>107</v>
      </c>
      <c r="E58">
        <v>58</v>
      </c>
      <c r="F58">
        <v>126</v>
      </c>
      <c r="G58">
        <v>54.152999999999999</v>
      </c>
      <c r="H58">
        <v>10.125</v>
      </c>
      <c r="I58">
        <v>14.478</v>
      </c>
      <c r="J58">
        <v>0.51100000000000001</v>
      </c>
      <c r="K58">
        <v>11818.374</v>
      </c>
      <c r="L58">
        <v>102</v>
      </c>
      <c r="M58">
        <v>1.448</v>
      </c>
      <c r="N58">
        <v>0.69099999999999995</v>
      </c>
      <c r="O58">
        <v>0.97599999999999998</v>
      </c>
      <c r="P58" s="2">
        <f t="shared" si="1"/>
        <v>1.4299259259259258</v>
      </c>
      <c r="Q58" t="str">
        <f t="shared" si="0"/>
        <v>esferica</v>
      </c>
    </row>
    <row r="59" spans="1:17" x14ac:dyDescent="0.35">
      <c r="A59" t="s">
        <v>12</v>
      </c>
      <c r="B59">
        <v>136.13499999999999</v>
      </c>
      <c r="C59">
        <v>131.50299999999999</v>
      </c>
      <c r="D59">
        <v>148</v>
      </c>
      <c r="E59">
        <v>58</v>
      </c>
      <c r="F59">
        <v>161</v>
      </c>
      <c r="G59">
        <v>57.405999999999999</v>
      </c>
      <c r="H59">
        <v>9.5869999999999997</v>
      </c>
      <c r="I59">
        <v>17.901</v>
      </c>
      <c r="J59">
        <v>0.51900000000000002</v>
      </c>
      <c r="K59">
        <v>17902.196</v>
      </c>
      <c r="L59">
        <v>139</v>
      </c>
      <c r="M59">
        <v>1.915</v>
      </c>
      <c r="N59">
        <v>0.52200000000000002</v>
      </c>
      <c r="O59">
        <v>0.97199999999999998</v>
      </c>
      <c r="P59" s="2">
        <f t="shared" si="1"/>
        <v>1.8672160216960467</v>
      </c>
      <c r="Q59" t="str">
        <f t="shared" si="0"/>
        <v>eliptica</v>
      </c>
    </row>
    <row r="60" spans="1:17" x14ac:dyDescent="0.35">
      <c r="A60" t="s">
        <v>12</v>
      </c>
      <c r="B60">
        <v>129.06100000000001</v>
      </c>
      <c r="C60">
        <v>127.807</v>
      </c>
      <c r="D60">
        <v>148</v>
      </c>
      <c r="E60">
        <v>63</v>
      </c>
      <c r="F60">
        <v>164</v>
      </c>
      <c r="G60">
        <v>47.33</v>
      </c>
      <c r="H60">
        <v>10.712</v>
      </c>
      <c r="I60">
        <v>15.603</v>
      </c>
      <c r="J60">
        <v>0.72399999999999998</v>
      </c>
      <c r="K60">
        <v>16495.009999999998</v>
      </c>
      <c r="L60">
        <v>133</v>
      </c>
      <c r="M60">
        <v>1.4590000000000001</v>
      </c>
      <c r="N60">
        <v>0.68500000000000005</v>
      </c>
      <c r="O60">
        <v>0.98399999999999999</v>
      </c>
      <c r="P60" s="2">
        <f t="shared" si="1"/>
        <v>1.4565907393577298</v>
      </c>
      <c r="Q60" t="str">
        <f t="shared" si="0"/>
        <v>esferica</v>
      </c>
    </row>
    <row r="61" spans="1:17" x14ac:dyDescent="0.35">
      <c r="A61" t="s">
        <v>12</v>
      </c>
      <c r="B61">
        <v>80.149000000000001</v>
      </c>
      <c r="C61">
        <v>104.336</v>
      </c>
      <c r="D61">
        <v>116</v>
      </c>
      <c r="E61">
        <v>62</v>
      </c>
      <c r="F61">
        <v>131</v>
      </c>
      <c r="G61">
        <v>41.213000000000001</v>
      </c>
      <c r="H61">
        <v>8.3149999999999995</v>
      </c>
      <c r="I61">
        <v>12.423</v>
      </c>
      <c r="J61">
        <v>0.59299999999999997</v>
      </c>
      <c r="K61">
        <v>8362.4040000000005</v>
      </c>
      <c r="L61">
        <v>108</v>
      </c>
      <c r="M61">
        <v>1.5349999999999999</v>
      </c>
      <c r="N61">
        <v>0.65100000000000002</v>
      </c>
      <c r="O61">
        <v>0.97399999999999998</v>
      </c>
      <c r="P61" s="2">
        <f t="shared" si="1"/>
        <v>1.4940469031870116</v>
      </c>
      <c r="Q61" t="str">
        <f t="shared" si="0"/>
        <v>esferica</v>
      </c>
    </row>
    <row r="62" spans="1:17" x14ac:dyDescent="0.35">
      <c r="A62" t="s">
        <v>12</v>
      </c>
      <c r="B62">
        <v>105.258</v>
      </c>
      <c r="C62">
        <v>122.752</v>
      </c>
      <c r="D62">
        <v>148</v>
      </c>
      <c r="E62">
        <v>58</v>
      </c>
      <c r="F62">
        <v>181</v>
      </c>
      <c r="G62">
        <v>46.776000000000003</v>
      </c>
      <c r="H62">
        <v>9</v>
      </c>
      <c r="I62">
        <v>14.624000000000001</v>
      </c>
      <c r="J62">
        <v>0.60499999999999998</v>
      </c>
      <c r="K62">
        <v>12920.691000000001</v>
      </c>
      <c r="L62">
        <v>129</v>
      </c>
      <c r="M62">
        <v>1.6120000000000001</v>
      </c>
      <c r="N62">
        <v>0.62</v>
      </c>
      <c r="O62">
        <v>0.98</v>
      </c>
      <c r="P62" s="2">
        <f t="shared" si="1"/>
        <v>1.624888888888889</v>
      </c>
      <c r="Q62" t="str">
        <f t="shared" si="0"/>
        <v>eliptica</v>
      </c>
    </row>
    <row r="63" spans="1:17" x14ac:dyDescent="0.35">
      <c r="A63" t="s">
        <v>12</v>
      </c>
      <c r="B63">
        <v>114.134</v>
      </c>
      <c r="C63">
        <v>122.968</v>
      </c>
      <c r="D63">
        <v>144</v>
      </c>
      <c r="E63">
        <v>63</v>
      </c>
      <c r="F63">
        <v>158</v>
      </c>
      <c r="G63">
        <v>48.228000000000002</v>
      </c>
      <c r="H63">
        <v>9.0969999999999995</v>
      </c>
      <c r="I63">
        <v>15.407</v>
      </c>
      <c r="J63">
        <v>0.61699999999999999</v>
      </c>
      <c r="K63">
        <v>14034.826999999999</v>
      </c>
      <c r="L63">
        <v>128</v>
      </c>
      <c r="M63">
        <v>1.7350000000000001</v>
      </c>
      <c r="N63">
        <v>0.57699999999999996</v>
      </c>
      <c r="O63">
        <v>0.98199999999999998</v>
      </c>
      <c r="P63" s="2">
        <f t="shared" si="1"/>
        <v>1.6936352643728703</v>
      </c>
      <c r="Q63" t="str">
        <f t="shared" si="0"/>
        <v>eliptica</v>
      </c>
    </row>
    <row r="64" spans="1:17" x14ac:dyDescent="0.35">
      <c r="A64" t="s">
        <v>12</v>
      </c>
      <c r="B64">
        <v>95.674999999999997</v>
      </c>
      <c r="C64">
        <v>122.125</v>
      </c>
      <c r="D64">
        <v>140</v>
      </c>
      <c r="E64">
        <v>59</v>
      </c>
      <c r="F64">
        <v>155</v>
      </c>
      <c r="G64">
        <v>51.73</v>
      </c>
      <c r="H64">
        <v>9.6349999999999998</v>
      </c>
      <c r="I64">
        <v>13.353</v>
      </c>
      <c r="J64">
        <v>0.44900000000000001</v>
      </c>
      <c r="K64">
        <v>11684.277</v>
      </c>
      <c r="L64">
        <v>129</v>
      </c>
      <c r="M64">
        <v>1.375</v>
      </c>
      <c r="N64">
        <v>0.72699999999999998</v>
      </c>
      <c r="O64">
        <v>0.96299999999999997</v>
      </c>
      <c r="P64" s="2">
        <f t="shared" si="1"/>
        <v>1.385884795018163</v>
      </c>
      <c r="Q64" t="str">
        <f t="shared" si="0"/>
        <v>esferica</v>
      </c>
    </row>
    <row r="65" spans="1:17" x14ac:dyDescent="0.35">
      <c r="A65" t="s">
        <v>12</v>
      </c>
      <c r="B65">
        <v>92.260999999999996</v>
      </c>
      <c r="C65">
        <v>122.155</v>
      </c>
      <c r="D65">
        <v>148</v>
      </c>
      <c r="E65">
        <v>62</v>
      </c>
      <c r="F65">
        <v>157</v>
      </c>
      <c r="G65">
        <v>45.420999999999999</v>
      </c>
      <c r="H65">
        <v>8.5109999999999992</v>
      </c>
      <c r="I65">
        <v>13.891</v>
      </c>
      <c r="J65">
        <v>0.56200000000000006</v>
      </c>
      <c r="K65">
        <v>11270.172</v>
      </c>
      <c r="L65">
        <v>129</v>
      </c>
      <c r="M65">
        <v>1.6120000000000001</v>
      </c>
      <c r="N65">
        <v>0.62</v>
      </c>
      <c r="O65">
        <v>0.97699999999999998</v>
      </c>
      <c r="P65" s="2">
        <f t="shared" si="1"/>
        <v>1.6321231347667726</v>
      </c>
      <c r="Q65" t="str">
        <f t="shared" si="0"/>
        <v>eliptica</v>
      </c>
    </row>
    <row r="66" spans="1:17" x14ac:dyDescent="0.35">
      <c r="A66" t="s">
        <v>12</v>
      </c>
      <c r="B66">
        <v>76.902000000000001</v>
      </c>
      <c r="C66">
        <v>114.803</v>
      </c>
      <c r="D66">
        <v>135</v>
      </c>
      <c r="E66">
        <v>63</v>
      </c>
      <c r="F66">
        <v>147</v>
      </c>
      <c r="G66">
        <v>36.311999999999998</v>
      </c>
      <c r="H66">
        <v>8.3149999999999995</v>
      </c>
      <c r="I66">
        <v>12.13</v>
      </c>
      <c r="J66">
        <v>0.73299999999999998</v>
      </c>
      <c r="K66">
        <v>8828.6440000000002</v>
      </c>
      <c r="L66">
        <v>116</v>
      </c>
      <c r="M66">
        <v>1.526</v>
      </c>
      <c r="N66">
        <v>0.65500000000000003</v>
      </c>
      <c r="O66">
        <v>0.98</v>
      </c>
      <c r="P66" s="2">
        <f t="shared" si="1"/>
        <v>1.4588093806374025</v>
      </c>
      <c r="Q66" t="str">
        <f t="shared" ref="Q66:Q129" si="2">IF(P66&lt;1,"ovoide",IF(P66&lt;1.5,"esferica",IF(P66&lt;2,"eliptica","alongada")))</f>
        <v>esferica</v>
      </c>
    </row>
    <row r="67" spans="1:17" x14ac:dyDescent="0.35">
      <c r="A67" t="s">
        <v>12</v>
      </c>
      <c r="B67">
        <v>94.906999999999996</v>
      </c>
      <c r="C67">
        <v>97.495000000000005</v>
      </c>
      <c r="D67">
        <v>107</v>
      </c>
      <c r="E67">
        <v>60</v>
      </c>
      <c r="F67">
        <v>125</v>
      </c>
      <c r="G67">
        <v>50.948999999999998</v>
      </c>
      <c r="H67">
        <v>7.9720000000000004</v>
      </c>
      <c r="I67">
        <v>15.603</v>
      </c>
      <c r="J67">
        <v>0.45900000000000002</v>
      </c>
      <c r="K67">
        <v>9252.9539999999997</v>
      </c>
      <c r="L67">
        <v>99</v>
      </c>
      <c r="M67">
        <v>2</v>
      </c>
      <c r="N67">
        <v>0.5</v>
      </c>
      <c r="O67">
        <v>0.97199999999999998</v>
      </c>
      <c r="P67" s="2">
        <f t="shared" ref="P67:P130" si="3">I67/H67</f>
        <v>1.9572252885097841</v>
      </c>
      <c r="Q67" t="str">
        <f t="shared" si="2"/>
        <v>eliptica</v>
      </c>
    </row>
    <row r="68" spans="1:17" x14ac:dyDescent="0.35">
      <c r="A68" t="s">
        <v>12</v>
      </c>
      <c r="B68">
        <v>119.002</v>
      </c>
      <c r="C68">
        <v>118.364</v>
      </c>
      <c r="D68">
        <v>132</v>
      </c>
      <c r="E68">
        <v>63</v>
      </c>
      <c r="F68">
        <v>150</v>
      </c>
      <c r="G68">
        <v>46.325000000000003</v>
      </c>
      <c r="H68">
        <v>9.2439999999999998</v>
      </c>
      <c r="I68">
        <v>15.505000000000001</v>
      </c>
      <c r="J68">
        <v>0.69699999999999995</v>
      </c>
      <c r="K68">
        <v>14085.526</v>
      </c>
      <c r="L68">
        <v>123</v>
      </c>
      <c r="M68">
        <v>1.716</v>
      </c>
      <c r="N68">
        <v>0.58299999999999996</v>
      </c>
      <c r="O68">
        <v>0.98699999999999999</v>
      </c>
      <c r="P68" s="2">
        <f t="shared" si="3"/>
        <v>1.6773041973171789</v>
      </c>
      <c r="Q68" t="str">
        <f t="shared" si="2"/>
        <v>eliptica</v>
      </c>
    </row>
    <row r="69" spans="1:17" x14ac:dyDescent="0.35">
      <c r="A69" t="s">
        <v>12</v>
      </c>
      <c r="B69">
        <v>100.069</v>
      </c>
      <c r="C69">
        <v>133.161</v>
      </c>
      <c r="D69">
        <v>148</v>
      </c>
      <c r="E69">
        <v>61</v>
      </c>
      <c r="F69">
        <v>169</v>
      </c>
      <c r="G69">
        <v>44.985999999999997</v>
      </c>
      <c r="H69">
        <v>8.6080000000000005</v>
      </c>
      <c r="I69">
        <v>14.917999999999999</v>
      </c>
      <c r="J69">
        <v>0.621</v>
      </c>
      <c r="K69">
        <v>13325.311</v>
      </c>
      <c r="L69">
        <v>143</v>
      </c>
      <c r="M69">
        <v>1.7769999999999999</v>
      </c>
      <c r="N69">
        <v>0.56299999999999994</v>
      </c>
      <c r="O69">
        <v>0.97299999999999998</v>
      </c>
      <c r="P69" s="2">
        <f t="shared" si="3"/>
        <v>1.733039033457249</v>
      </c>
      <c r="Q69" t="str">
        <f t="shared" si="2"/>
        <v>eliptica</v>
      </c>
    </row>
    <row r="70" spans="1:17" x14ac:dyDescent="0.35">
      <c r="A70" t="s">
        <v>12</v>
      </c>
      <c r="B70">
        <v>109.167</v>
      </c>
      <c r="C70">
        <v>99.391000000000005</v>
      </c>
      <c r="D70">
        <v>107</v>
      </c>
      <c r="E70">
        <v>57</v>
      </c>
      <c r="F70">
        <v>123</v>
      </c>
      <c r="G70">
        <v>51.014000000000003</v>
      </c>
      <c r="H70">
        <v>10.026999999999999</v>
      </c>
      <c r="I70">
        <v>14.38</v>
      </c>
      <c r="J70">
        <v>0.52700000000000002</v>
      </c>
      <c r="K70">
        <v>10850.263999999999</v>
      </c>
      <c r="L70">
        <v>102</v>
      </c>
      <c r="M70">
        <v>1.57</v>
      </c>
      <c r="N70">
        <v>0.63700000000000001</v>
      </c>
      <c r="O70">
        <v>0.97699999999999998</v>
      </c>
      <c r="P70" s="2">
        <f t="shared" si="3"/>
        <v>1.4341278547920617</v>
      </c>
      <c r="Q70" t="str">
        <f t="shared" si="2"/>
        <v>esferica</v>
      </c>
    </row>
    <row r="71" spans="1:17" x14ac:dyDescent="0.35">
      <c r="A71" t="s">
        <v>12</v>
      </c>
      <c r="B71">
        <v>100.66</v>
      </c>
      <c r="C71">
        <v>117.057</v>
      </c>
      <c r="D71">
        <v>132</v>
      </c>
      <c r="E71">
        <v>61</v>
      </c>
      <c r="F71">
        <v>157</v>
      </c>
      <c r="G71">
        <v>47.511000000000003</v>
      </c>
      <c r="H71">
        <v>9.4890000000000008</v>
      </c>
      <c r="I71">
        <v>13.94</v>
      </c>
      <c r="J71">
        <v>0.56000000000000005</v>
      </c>
      <c r="K71">
        <v>11782.951999999999</v>
      </c>
      <c r="L71">
        <v>121</v>
      </c>
      <c r="M71">
        <v>1.5720000000000001</v>
      </c>
      <c r="N71">
        <v>0.63600000000000001</v>
      </c>
      <c r="O71">
        <v>0.97299999999999998</v>
      </c>
      <c r="P71" s="2">
        <f t="shared" si="3"/>
        <v>1.4690694488354936</v>
      </c>
      <c r="Q71" t="str">
        <f t="shared" si="2"/>
        <v>esferica</v>
      </c>
    </row>
    <row r="72" spans="1:17" x14ac:dyDescent="0.35">
      <c r="A72" t="s">
        <v>12</v>
      </c>
      <c r="B72">
        <v>125.55</v>
      </c>
      <c r="C72">
        <v>127.001</v>
      </c>
      <c r="D72">
        <v>152</v>
      </c>
      <c r="E72">
        <v>64</v>
      </c>
      <c r="F72">
        <v>255</v>
      </c>
      <c r="G72">
        <v>48.905000000000001</v>
      </c>
      <c r="H72">
        <v>9.7330000000000005</v>
      </c>
      <c r="I72">
        <v>15.651999999999999</v>
      </c>
      <c r="J72">
        <v>0.66</v>
      </c>
      <c r="K72">
        <v>15944.957</v>
      </c>
      <c r="L72">
        <v>133</v>
      </c>
      <c r="M72">
        <v>1.6140000000000001</v>
      </c>
      <c r="N72">
        <v>0.61899999999999999</v>
      </c>
      <c r="O72">
        <v>0.98099999999999998</v>
      </c>
      <c r="P72" s="2">
        <f t="shared" si="3"/>
        <v>1.6081372649748278</v>
      </c>
      <c r="Q72" t="str">
        <f t="shared" si="2"/>
        <v>eliptica</v>
      </c>
    </row>
    <row r="73" spans="1:17" x14ac:dyDescent="0.35">
      <c r="A73" t="s">
        <v>12</v>
      </c>
      <c r="B73">
        <v>67.844999999999999</v>
      </c>
      <c r="C73">
        <v>118.556</v>
      </c>
      <c r="D73">
        <v>132</v>
      </c>
      <c r="E73">
        <v>62</v>
      </c>
      <c r="F73">
        <v>150</v>
      </c>
      <c r="G73">
        <v>38.097999999999999</v>
      </c>
      <c r="H73">
        <v>7.8259999999999996</v>
      </c>
      <c r="I73">
        <v>11.592000000000001</v>
      </c>
      <c r="J73">
        <v>0.58699999999999997</v>
      </c>
      <c r="K73">
        <v>8043.4549999999999</v>
      </c>
      <c r="L73">
        <v>125</v>
      </c>
      <c r="M73">
        <v>1.4950000000000001</v>
      </c>
      <c r="N73">
        <v>0.66900000000000004</v>
      </c>
      <c r="O73">
        <v>0.97399999999999998</v>
      </c>
      <c r="P73" s="2">
        <f t="shared" si="3"/>
        <v>1.4812164579606442</v>
      </c>
      <c r="Q73" t="str">
        <f t="shared" si="2"/>
        <v>esferica</v>
      </c>
    </row>
    <row r="74" spans="1:17" x14ac:dyDescent="0.35">
      <c r="A74" t="s">
        <v>12</v>
      </c>
      <c r="B74">
        <v>101.76300000000001</v>
      </c>
      <c r="C74">
        <v>121.05</v>
      </c>
      <c r="D74">
        <v>143</v>
      </c>
      <c r="E74">
        <v>62</v>
      </c>
      <c r="F74">
        <v>155</v>
      </c>
      <c r="G74">
        <v>48.78</v>
      </c>
      <c r="H74">
        <v>9.2929999999999993</v>
      </c>
      <c r="I74">
        <v>14.673</v>
      </c>
      <c r="J74">
        <v>0.53700000000000003</v>
      </c>
      <c r="K74">
        <v>12318.412</v>
      </c>
      <c r="L74">
        <v>129</v>
      </c>
      <c r="M74">
        <v>1.851</v>
      </c>
      <c r="N74">
        <v>0.54</v>
      </c>
      <c r="O74">
        <v>0.97699999999999998</v>
      </c>
      <c r="P74" s="2">
        <f t="shared" si="3"/>
        <v>1.5789303777036481</v>
      </c>
      <c r="Q74" t="str">
        <f t="shared" si="2"/>
        <v>eliptica</v>
      </c>
    </row>
    <row r="75" spans="1:17" x14ac:dyDescent="0.35">
      <c r="A75" t="s">
        <v>12</v>
      </c>
      <c r="B75">
        <v>116.354</v>
      </c>
      <c r="C75">
        <v>127.508</v>
      </c>
      <c r="D75">
        <v>148</v>
      </c>
      <c r="E75">
        <v>56</v>
      </c>
      <c r="F75">
        <v>163</v>
      </c>
      <c r="G75">
        <v>48.543999999999997</v>
      </c>
      <c r="H75">
        <v>10.467000000000001</v>
      </c>
      <c r="I75">
        <v>15.065</v>
      </c>
      <c r="J75">
        <v>0.62</v>
      </c>
      <c r="K75">
        <v>14836.046</v>
      </c>
      <c r="L75">
        <v>138</v>
      </c>
      <c r="M75">
        <v>1.4910000000000001</v>
      </c>
      <c r="N75">
        <v>0.67100000000000004</v>
      </c>
      <c r="O75">
        <v>0.97299999999999998</v>
      </c>
      <c r="P75" s="2">
        <f t="shared" si="3"/>
        <v>1.4392853730772903</v>
      </c>
      <c r="Q75" t="str">
        <f t="shared" si="2"/>
        <v>esferica</v>
      </c>
    </row>
    <row r="76" spans="1:17" x14ac:dyDescent="0.35">
      <c r="A76" t="s">
        <v>12</v>
      </c>
      <c r="B76">
        <v>112.447</v>
      </c>
      <c r="C76">
        <v>122.249</v>
      </c>
      <c r="D76">
        <v>148</v>
      </c>
      <c r="E76">
        <v>63</v>
      </c>
      <c r="F76">
        <v>159</v>
      </c>
      <c r="G76">
        <v>48.264000000000003</v>
      </c>
      <c r="H76">
        <v>10.907</v>
      </c>
      <c r="I76">
        <v>13.451000000000001</v>
      </c>
      <c r="J76">
        <v>0.60699999999999998</v>
      </c>
      <c r="K76">
        <v>13746.571</v>
      </c>
      <c r="L76">
        <v>126</v>
      </c>
      <c r="M76">
        <v>1.335</v>
      </c>
      <c r="N76">
        <v>0.749</v>
      </c>
      <c r="O76">
        <v>0.97599999999999998</v>
      </c>
      <c r="P76" s="2">
        <f t="shared" si="3"/>
        <v>1.23324470523517</v>
      </c>
      <c r="Q76" t="str">
        <f t="shared" si="2"/>
        <v>esferica</v>
      </c>
    </row>
    <row r="77" spans="1:17" x14ac:dyDescent="0.35">
      <c r="A77" t="s">
        <v>12</v>
      </c>
      <c r="B77">
        <v>110.28</v>
      </c>
      <c r="C77">
        <v>101.949</v>
      </c>
      <c r="D77">
        <v>111</v>
      </c>
      <c r="E77">
        <v>60</v>
      </c>
      <c r="F77">
        <v>128</v>
      </c>
      <c r="G77">
        <v>46.406999999999996</v>
      </c>
      <c r="H77">
        <v>9.7330000000000005</v>
      </c>
      <c r="I77">
        <v>14.478</v>
      </c>
      <c r="J77">
        <v>0.64300000000000002</v>
      </c>
      <c r="K77">
        <v>11242.838</v>
      </c>
      <c r="L77">
        <v>106</v>
      </c>
      <c r="M77">
        <v>1.476</v>
      </c>
      <c r="N77">
        <v>0.67800000000000005</v>
      </c>
      <c r="O77">
        <v>0.98</v>
      </c>
      <c r="P77" s="2">
        <f t="shared" si="3"/>
        <v>1.4875166957772525</v>
      </c>
      <c r="Q77" t="str">
        <f t="shared" si="2"/>
        <v>esferica</v>
      </c>
    </row>
    <row r="78" spans="1:17" x14ac:dyDescent="0.35">
      <c r="A78" t="s">
        <v>12</v>
      </c>
      <c r="B78">
        <v>88.938000000000002</v>
      </c>
      <c r="C78">
        <v>121.047</v>
      </c>
      <c r="D78">
        <v>137</v>
      </c>
      <c r="E78">
        <v>62</v>
      </c>
      <c r="F78">
        <v>152</v>
      </c>
      <c r="G78">
        <v>45.655999999999999</v>
      </c>
      <c r="H78">
        <v>7.5810000000000004</v>
      </c>
      <c r="I78">
        <v>15.603</v>
      </c>
      <c r="J78">
        <v>0.53600000000000003</v>
      </c>
      <c r="K78">
        <v>10765.718000000001</v>
      </c>
      <c r="L78">
        <v>126</v>
      </c>
      <c r="M78">
        <v>2.1659999999999999</v>
      </c>
      <c r="N78">
        <v>0.46200000000000002</v>
      </c>
      <c r="O78">
        <v>0.95399999999999996</v>
      </c>
      <c r="P78" s="2">
        <f t="shared" si="3"/>
        <v>2.0581717451523542</v>
      </c>
      <c r="Q78" t="str">
        <f t="shared" si="2"/>
        <v>alongada</v>
      </c>
    </row>
    <row r="79" spans="1:17" x14ac:dyDescent="0.35">
      <c r="A79" t="s">
        <v>12</v>
      </c>
      <c r="B79">
        <v>89.96</v>
      </c>
      <c r="C79">
        <v>93.861000000000004</v>
      </c>
      <c r="D79">
        <v>101</v>
      </c>
      <c r="E79">
        <v>31</v>
      </c>
      <c r="F79">
        <v>115</v>
      </c>
      <c r="G79">
        <v>47.014000000000003</v>
      </c>
      <c r="H79">
        <v>9.5380000000000003</v>
      </c>
      <c r="I79">
        <v>12.374000000000001</v>
      </c>
      <c r="J79">
        <v>0.51100000000000001</v>
      </c>
      <c r="K79">
        <v>8443.732</v>
      </c>
      <c r="L79">
        <v>96</v>
      </c>
      <c r="M79">
        <v>1.31</v>
      </c>
      <c r="N79">
        <v>0.76300000000000001</v>
      </c>
      <c r="O79">
        <v>0.97099999999999997</v>
      </c>
      <c r="P79" s="2">
        <f t="shared" si="3"/>
        <v>1.2973369679178024</v>
      </c>
      <c r="Q79" t="str">
        <f t="shared" si="2"/>
        <v>esferica</v>
      </c>
    </row>
    <row r="80" spans="1:17" x14ac:dyDescent="0.35">
      <c r="A80" t="s">
        <v>12</v>
      </c>
      <c r="B80">
        <v>82.576999999999998</v>
      </c>
      <c r="C80">
        <v>117.21299999999999</v>
      </c>
      <c r="D80">
        <v>132</v>
      </c>
      <c r="E80">
        <v>60</v>
      </c>
      <c r="F80">
        <v>150</v>
      </c>
      <c r="G80">
        <v>42.701999999999998</v>
      </c>
      <c r="H80">
        <v>7.4340000000000002</v>
      </c>
      <c r="I80">
        <v>13.94</v>
      </c>
      <c r="J80">
        <v>0.56899999999999995</v>
      </c>
      <c r="K80">
        <v>9679.0990000000002</v>
      </c>
      <c r="L80">
        <v>123</v>
      </c>
      <c r="M80">
        <v>1.8839999999999999</v>
      </c>
      <c r="N80">
        <v>0.53100000000000003</v>
      </c>
      <c r="O80">
        <v>0.97599999999999998</v>
      </c>
      <c r="P80" s="2">
        <f t="shared" si="3"/>
        <v>1.8751681463545868</v>
      </c>
      <c r="Q80" t="str">
        <f t="shared" si="2"/>
        <v>eliptica</v>
      </c>
    </row>
    <row r="81" spans="1:17" x14ac:dyDescent="0.35">
      <c r="A81" t="s">
        <v>12</v>
      </c>
      <c r="B81">
        <v>65.929000000000002</v>
      </c>
      <c r="C81">
        <v>121.19799999999999</v>
      </c>
      <c r="D81">
        <v>139</v>
      </c>
      <c r="E81">
        <v>61</v>
      </c>
      <c r="F81">
        <v>151</v>
      </c>
      <c r="G81">
        <v>41.332999999999998</v>
      </c>
      <c r="H81">
        <v>6.7009999999999996</v>
      </c>
      <c r="I81">
        <v>12.276999999999999</v>
      </c>
      <c r="J81">
        <v>0.48499999999999999</v>
      </c>
      <c r="K81">
        <v>7990.4560000000001</v>
      </c>
      <c r="L81">
        <v>126</v>
      </c>
      <c r="M81">
        <v>1.895</v>
      </c>
      <c r="N81">
        <v>0.52800000000000002</v>
      </c>
      <c r="O81">
        <v>0.96599999999999997</v>
      </c>
      <c r="P81" s="2">
        <f t="shared" si="3"/>
        <v>1.8321146097597374</v>
      </c>
      <c r="Q81" t="str">
        <f t="shared" si="2"/>
        <v>eliptica</v>
      </c>
    </row>
    <row r="82" spans="1:17" x14ac:dyDescent="0.35">
      <c r="A82" t="s">
        <v>12</v>
      </c>
      <c r="B82">
        <v>136.422</v>
      </c>
      <c r="C82">
        <v>123.768</v>
      </c>
      <c r="D82">
        <v>144</v>
      </c>
      <c r="E82">
        <v>60</v>
      </c>
      <c r="F82">
        <v>156</v>
      </c>
      <c r="G82">
        <v>51.021999999999998</v>
      </c>
      <c r="H82">
        <v>10.907</v>
      </c>
      <c r="I82">
        <v>15.896000000000001</v>
      </c>
      <c r="J82">
        <v>0.65900000000000003</v>
      </c>
      <c r="K82">
        <v>16884.710999999999</v>
      </c>
      <c r="L82">
        <v>129</v>
      </c>
      <c r="M82">
        <v>1.472</v>
      </c>
      <c r="N82">
        <v>0.67900000000000005</v>
      </c>
      <c r="O82">
        <v>0.98299999999999998</v>
      </c>
      <c r="P82" s="2">
        <f t="shared" si="3"/>
        <v>1.4574126707618962</v>
      </c>
      <c r="Q82" t="str">
        <f t="shared" si="2"/>
        <v>esferica</v>
      </c>
    </row>
    <row r="83" spans="1:17" x14ac:dyDescent="0.35">
      <c r="A83" t="s">
        <v>12</v>
      </c>
      <c r="B83">
        <v>113.20099999999999</v>
      </c>
      <c r="C83">
        <v>96.662000000000006</v>
      </c>
      <c r="D83">
        <v>104</v>
      </c>
      <c r="E83">
        <v>60</v>
      </c>
      <c r="F83">
        <v>125</v>
      </c>
      <c r="G83">
        <v>55.283999999999999</v>
      </c>
      <c r="H83">
        <v>9.44</v>
      </c>
      <c r="I83">
        <v>15.651999999999999</v>
      </c>
      <c r="J83">
        <v>0.46500000000000002</v>
      </c>
      <c r="K83">
        <v>10942.245000000001</v>
      </c>
      <c r="L83">
        <v>99</v>
      </c>
      <c r="M83">
        <v>1.7649999999999999</v>
      </c>
      <c r="N83">
        <v>0.56699999999999995</v>
      </c>
      <c r="O83">
        <v>0.97399999999999998</v>
      </c>
      <c r="P83" s="2">
        <f t="shared" si="3"/>
        <v>1.6580508474576272</v>
      </c>
      <c r="Q83" t="str">
        <f t="shared" si="2"/>
        <v>eliptica</v>
      </c>
    </row>
    <row r="84" spans="1:17" x14ac:dyDescent="0.35">
      <c r="A84" t="s">
        <v>12</v>
      </c>
      <c r="B84">
        <v>93.763000000000005</v>
      </c>
      <c r="C84">
        <v>120.488</v>
      </c>
      <c r="D84">
        <v>128</v>
      </c>
      <c r="E84">
        <v>63</v>
      </c>
      <c r="F84">
        <v>153</v>
      </c>
      <c r="G84">
        <v>42.728999999999999</v>
      </c>
      <c r="H84">
        <v>8.266</v>
      </c>
      <c r="I84">
        <v>13.989000000000001</v>
      </c>
      <c r="J84">
        <v>0.64500000000000002</v>
      </c>
      <c r="K84">
        <v>11297.358</v>
      </c>
      <c r="L84">
        <v>125</v>
      </c>
      <c r="M84">
        <v>1.696</v>
      </c>
      <c r="N84">
        <v>0.59</v>
      </c>
      <c r="O84">
        <v>0.97899999999999998</v>
      </c>
      <c r="P84" s="2">
        <f t="shared" si="3"/>
        <v>1.6923542221146868</v>
      </c>
      <c r="Q84" t="str">
        <f t="shared" si="2"/>
        <v>eliptica</v>
      </c>
    </row>
    <row r="85" spans="1:17" x14ac:dyDescent="0.35">
      <c r="A85" t="s">
        <v>12</v>
      </c>
      <c r="B85">
        <v>79.031999999999996</v>
      </c>
      <c r="C85">
        <v>121.53</v>
      </c>
      <c r="D85">
        <v>139</v>
      </c>
      <c r="E85">
        <v>45</v>
      </c>
      <c r="F85">
        <v>154</v>
      </c>
      <c r="G85">
        <v>39.673000000000002</v>
      </c>
      <c r="H85">
        <v>7.7770000000000001</v>
      </c>
      <c r="I85">
        <v>13.255000000000001</v>
      </c>
      <c r="J85">
        <v>0.63100000000000001</v>
      </c>
      <c r="K85">
        <v>9604.7199999999993</v>
      </c>
      <c r="L85">
        <v>128</v>
      </c>
      <c r="M85">
        <v>1.657</v>
      </c>
      <c r="N85">
        <v>0.60399999999999998</v>
      </c>
      <c r="O85">
        <v>0.97399999999999998</v>
      </c>
      <c r="P85" s="2">
        <f t="shared" si="3"/>
        <v>1.7043847241867045</v>
      </c>
      <c r="Q85" t="str">
        <f t="shared" si="2"/>
        <v>eliptica</v>
      </c>
    </row>
    <row r="86" spans="1:17" x14ac:dyDescent="0.35">
      <c r="A86" t="s">
        <v>12</v>
      </c>
      <c r="B86">
        <v>95.397000000000006</v>
      </c>
      <c r="C86">
        <v>97.167000000000002</v>
      </c>
      <c r="D86">
        <v>107</v>
      </c>
      <c r="E86">
        <v>54</v>
      </c>
      <c r="F86">
        <v>124</v>
      </c>
      <c r="G86">
        <v>50.598999999999997</v>
      </c>
      <c r="H86">
        <v>10.222</v>
      </c>
      <c r="I86">
        <v>12.717000000000001</v>
      </c>
      <c r="J86">
        <v>0.46800000000000003</v>
      </c>
      <c r="K86">
        <v>9269.5040000000008</v>
      </c>
      <c r="L86">
        <v>101</v>
      </c>
      <c r="M86">
        <v>1.462</v>
      </c>
      <c r="N86">
        <v>0.68400000000000005</v>
      </c>
      <c r="O86">
        <v>0.97299999999999998</v>
      </c>
      <c r="P86" s="2">
        <f t="shared" si="3"/>
        <v>1.2440813930737626</v>
      </c>
      <c r="Q86" t="str">
        <f t="shared" si="2"/>
        <v>esferica</v>
      </c>
    </row>
    <row r="87" spans="1:17" x14ac:dyDescent="0.35">
      <c r="A87" t="s">
        <v>12</v>
      </c>
      <c r="B87">
        <v>110.63800000000001</v>
      </c>
      <c r="C87">
        <v>108.295</v>
      </c>
      <c r="D87">
        <v>124</v>
      </c>
      <c r="E87">
        <v>60</v>
      </c>
      <c r="F87">
        <v>135</v>
      </c>
      <c r="G87">
        <v>45.911000000000001</v>
      </c>
      <c r="H87">
        <v>10.271000000000001</v>
      </c>
      <c r="I87">
        <v>13.94</v>
      </c>
      <c r="J87">
        <v>0.66</v>
      </c>
      <c r="K87">
        <v>11981.626</v>
      </c>
      <c r="L87">
        <v>112</v>
      </c>
      <c r="M87">
        <v>1.345</v>
      </c>
      <c r="N87">
        <v>0.74399999999999999</v>
      </c>
      <c r="O87">
        <v>0.98199999999999998</v>
      </c>
      <c r="P87" s="2">
        <f t="shared" si="3"/>
        <v>1.3572193554668484</v>
      </c>
      <c r="Q87" t="str">
        <f t="shared" si="2"/>
        <v>esferica</v>
      </c>
    </row>
    <row r="88" spans="1:17" x14ac:dyDescent="0.35">
      <c r="A88" t="s">
        <v>12</v>
      </c>
      <c r="B88">
        <v>141.291</v>
      </c>
      <c r="C88">
        <v>123.31</v>
      </c>
      <c r="D88">
        <v>144</v>
      </c>
      <c r="E88">
        <v>63</v>
      </c>
      <c r="F88">
        <v>157</v>
      </c>
      <c r="G88">
        <v>51.822000000000003</v>
      </c>
      <c r="H88">
        <v>10.173</v>
      </c>
      <c r="I88">
        <v>16.922999999999998</v>
      </c>
      <c r="J88">
        <v>0.66100000000000003</v>
      </c>
      <c r="K88">
        <v>17422.620999999999</v>
      </c>
      <c r="L88">
        <v>128</v>
      </c>
      <c r="M88">
        <v>1.639</v>
      </c>
      <c r="N88">
        <v>0.61</v>
      </c>
      <c r="O88">
        <v>0.98599999999999999</v>
      </c>
      <c r="P88" s="2">
        <f t="shared" si="3"/>
        <v>1.6635210852255971</v>
      </c>
      <c r="Q88" t="str">
        <f t="shared" si="2"/>
        <v>eliptica</v>
      </c>
    </row>
    <row r="89" spans="1:17" x14ac:dyDescent="0.35">
      <c r="A89" t="s">
        <v>12</v>
      </c>
      <c r="B89">
        <v>108.545</v>
      </c>
      <c r="C89">
        <v>126.248</v>
      </c>
      <c r="D89">
        <v>149</v>
      </c>
      <c r="E89">
        <v>63</v>
      </c>
      <c r="F89">
        <v>162</v>
      </c>
      <c r="G89">
        <v>44.816000000000003</v>
      </c>
      <c r="H89">
        <v>9.9779999999999998</v>
      </c>
      <c r="I89">
        <v>14.135</v>
      </c>
      <c r="J89">
        <v>0.67900000000000005</v>
      </c>
      <c r="K89">
        <v>13703.605</v>
      </c>
      <c r="L89">
        <v>135</v>
      </c>
      <c r="M89">
        <v>1.369</v>
      </c>
      <c r="N89">
        <v>0.73</v>
      </c>
      <c r="O89">
        <v>0.97099999999999997</v>
      </c>
      <c r="P89" s="2">
        <f t="shared" si="3"/>
        <v>1.4166165564241331</v>
      </c>
      <c r="Q89" t="str">
        <f t="shared" si="2"/>
        <v>esferica</v>
      </c>
    </row>
    <row r="90" spans="1:17" x14ac:dyDescent="0.35">
      <c r="A90" t="s">
        <v>12</v>
      </c>
      <c r="B90">
        <v>63.642000000000003</v>
      </c>
      <c r="C90">
        <v>110.773</v>
      </c>
      <c r="D90">
        <v>128</v>
      </c>
      <c r="E90">
        <v>59</v>
      </c>
      <c r="F90">
        <v>143</v>
      </c>
      <c r="G90">
        <v>36.223999999999997</v>
      </c>
      <c r="H90">
        <v>6.8479999999999999</v>
      </c>
      <c r="I90">
        <v>12.276999999999999</v>
      </c>
      <c r="J90">
        <v>0.60899999999999999</v>
      </c>
      <c r="K90">
        <v>7049.7879999999996</v>
      </c>
      <c r="L90">
        <v>116</v>
      </c>
      <c r="M90">
        <v>1.7470000000000001</v>
      </c>
      <c r="N90">
        <v>0.57199999999999995</v>
      </c>
      <c r="O90">
        <v>0.97699999999999998</v>
      </c>
      <c r="P90" s="2">
        <f t="shared" si="3"/>
        <v>1.792786214953271</v>
      </c>
      <c r="Q90" t="str">
        <f t="shared" si="2"/>
        <v>eliptica</v>
      </c>
    </row>
    <row r="91" spans="1:17" x14ac:dyDescent="0.35">
      <c r="A91" t="s">
        <v>12</v>
      </c>
      <c r="B91">
        <v>99.376000000000005</v>
      </c>
      <c r="C91">
        <v>121.617</v>
      </c>
      <c r="D91">
        <v>139</v>
      </c>
      <c r="E91">
        <v>60</v>
      </c>
      <c r="F91">
        <v>153</v>
      </c>
      <c r="G91">
        <v>42.756999999999998</v>
      </c>
      <c r="H91">
        <v>8.9019999999999992</v>
      </c>
      <c r="I91">
        <v>13.597</v>
      </c>
      <c r="J91">
        <v>0.68300000000000005</v>
      </c>
      <c r="K91">
        <v>12085.722</v>
      </c>
      <c r="L91">
        <v>126</v>
      </c>
      <c r="M91">
        <v>1.5229999999999999</v>
      </c>
      <c r="N91">
        <v>0.65700000000000003</v>
      </c>
      <c r="O91">
        <v>0.98099999999999998</v>
      </c>
      <c r="P91" s="2">
        <f t="shared" si="3"/>
        <v>1.5274095708829478</v>
      </c>
      <c r="Q91" t="str">
        <f t="shared" si="2"/>
        <v>eliptica</v>
      </c>
    </row>
    <row r="92" spans="1:17" x14ac:dyDescent="0.35">
      <c r="A92" t="s">
        <v>12</v>
      </c>
      <c r="B92">
        <v>100.488</v>
      </c>
      <c r="C92">
        <v>119.601</v>
      </c>
      <c r="D92">
        <v>146</v>
      </c>
      <c r="E92">
        <v>60</v>
      </c>
      <c r="F92">
        <v>159</v>
      </c>
      <c r="G92">
        <v>44.600999999999999</v>
      </c>
      <c r="H92">
        <v>9.4890000000000008</v>
      </c>
      <c r="I92">
        <v>14.037000000000001</v>
      </c>
      <c r="J92">
        <v>0.63500000000000001</v>
      </c>
      <c r="K92">
        <v>12018.415000000001</v>
      </c>
      <c r="L92">
        <v>124</v>
      </c>
      <c r="M92">
        <v>1.5720000000000001</v>
      </c>
      <c r="N92">
        <v>0.63600000000000001</v>
      </c>
      <c r="O92">
        <v>0.98</v>
      </c>
      <c r="P92" s="2">
        <f t="shared" si="3"/>
        <v>1.479291811571293</v>
      </c>
      <c r="Q92" t="str">
        <f t="shared" si="2"/>
        <v>esferica</v>
      </c>
    </row>
    <row r="93" spans="1:17" x14ac:dyDescent="0.35">
      <c r="A93" t="s">
        <v>12</v>
      </c>
      <c r="B93">
        <v>115.72199999999999</v>
      </c>
      <c r="C93">
        <v>134.535</v>
      </c>
      <c r="D93">
        <v>152</v>
      </c>
      <c r="E93">
        <v>65</v>
      </c>
      <c r="F93">
        <v>166</v>
      </c>
      <c r="G93">
        <v>41.966000000000001</v>
      </c>
      <c r="H93">
        <v>11.298</v>
      </c>
      <c r="I93">
        <v>12.961</v>
      </c>
      <c r="J93">
        <v>0.82599999999999996</v>
      </c>
      <c r="K93">
        <v>15568.643</v>
      </c>
      <c r="L93">
        <v>141</v>
      </c>
      <c r="M93">
        <v>1.1519999999999999</v>
      </c>
      <c r="N93">
        <v>0.86799999999999999</v>
      </c>
      <c r="O93">
        <v>0.98699999999999999</v>
      </c>
      <c r="P93" s="2">
        <f t="shared" si="3"/>
        <v>1.1471941936625951</v>
      </c>
      <c r="Q93" t="str">
        <f t="shared" si="2"/>
        <v>esferica</v>
      </c>
    </row>
    <row r="94" spans="1:17" x14ac:dyDescent="0.35">
      <c r="A94" t="s">
        <v>12</v>
      </c>
      <c r="B94">
        <v>125.262</v>
      </c>
      <c r="C94">
        <v>123.559</v>
      </c>
      <c r="D94">
        <v>144</v>
      </c>
      <c r="E94">
        <v>61</v>
      </c>
      <c r="F94">
        <v>157</v>
      </c>
      <c r="G94">
        <v>50.649000000000001</v>
      </c>
      <c r="H94">
        <v>9.5869999999999997</v>
      </c>
      <c r="I94">
        <v>16.286999999999999</v>
      </c>
      <c r="J94">
        <v>0.61399999999999999</v>
      </c>
      <c r="K94">
        <v>15477.325000000001</v>
      </c>
      <c r="L94">
        <v>130</v>
      </c>
      <c r="M94">
        <v>1.7569999999999999</v>
      </c>
      <c r="N94">
        <v>0.56899999999999995</v>
      </c>
      <c r="O94">
        <v>0.97499999999999998</v>
      </c>
      <c r="P94" s="2">
        <f t="shared" si="3"/>
        <v>1.6988630437050172</v>
      </c>
      <c r="Q94" t="str">
        <f t="shared" si="2"/>
        <v>eliptica</v>
      </c>
    </row>
    <row r="95" spans="1:17" x14ac:dyDescent="0.35">
      <c r="A95" t="s">
        <v>12</v>
      </c>
      <c r="B95">
        <v>105.414</v>
      </c>
      <c r="C95">
        <v>108.44</v>
      </c>
      <c r="D95">
        <v>122</v>
      </c>
      <c r="E95">
        <v>61</v>
      </c>
      <c r="F95">
        <v>169</v>
      </c>
      <c r="G95">
        <v>44.128</v>
      </c>
      <c r="H95">
        <v>10.516</v>
      </c>
      <c r="I95">
        <v>13.206</v>
      </c>
      <c r="J95">
        <v>0.68</v>
      </c>
      <c r="K95">
        <v>11431.034</v>
      </c>
      <c r="L95">
        <v>112</v>
      </c>
      <c r="M95">
        <v>1.2609999999999999</v>
      </c>
      <c r="N95">
        <v>0.79300000000000004</v>
      </c>
      <c r="O95">
        <v>0.98299999999999998</v>
      </c>
      <c r="P95" s="2">
        <f t="shared" si="3"/>
        <v>1.2558006846709775</v>
      </c>
      <c r="Q95" t="str">
        <f t="shared" si="2"/>
        <v>esferica</v>
      </c>
    </row>
    <row r="96" spans="1:17" x14ac:dyDescent="0.35">
      <c r="A96" t="s">
        <v>12</v>
      </c>
      <c r="B96">
        <v>82.841999999999999</v>
      </c>
      <c r="C96">
        <v>119.48699999999999</v>
      </c>
      <c r="D96">
        <v>136</v>
      </c>
      <c r="E96">
        <v>61</v>
      </c>
      <c r="F96">
        <v>150</v>
      </c>
      <c r="G96">
        <v>40.387999999999998</v>
      </c>
      <c r="H96">
        <v>8.4619999999999997</v>
      </c>
      <c r="I96">
        <v>12.864000000000001</v>
      </c>
      <c r="J96">
        <v>0.63800000000000001</v>
      </c>
      <c r="K96">
        <v>9898.5910000000003</v>
      </c>
      <c r="L96">
        <v>126</v>
      </c>
      <c r="M96">
        <v>1.5489999999999999</v>
      </c>
      <c r="N96">
        <v>0.64600000000000002</v>
      </c>
      <c r="O96">
        <v>0.97799999999999998</v>
      </c>
      <c r="P96" s="2">
        <f t="shared" si="3"/>
        <v>1.5202079886551645</v>
      </c>
      <c r="Q96" t="str">
        <f t="shared" si="2"/>
        <v>eliptica</v>
      </c>
    </row>
    <row r="97" spans="1:17" x14ac:dyDescent="0.35">
      <c r="A97" t="s">
        <v>12</v>
      </c>
      <c r="B97">
        <v>119.392</v>
      </c>
      <c r="C97">
        <v>130.239</v>
      </c>
      <c r="D97">
        <v>152</v>
      </c>
      <c r="E97">
        <v>60</v>
      </c>
      <c r="F97">
        <v>166</v>
      </c>
      <c r="G97">
        <v>52.478000000000002</v>
      </c>
      <c r="H97">
        <v>9.44</v>
      </c>
      <c r="I97">
        <v>15.7</v>
      </c>
      <c r="J97">
        <v>0.54500000000000004</v>
      </c>
      <c r="K97">
        <v>15549.512000000001</v>
      </c>
      <c r="L97">
        <v>138</v>
      </c>
      <c r="M97">
        <v>1.6759999999999999</v>
      </c>
      <c r="N97">
        <v>0.59699999999999998</v>
      </c>
      <c r="O97">
        <v>0.97099999999999997</v>
      </c>
      <c r="P97" s="2">
        <f t="shared" si="3"/>
        <v>1.6631355932203391</v>
      </c>
      <c r="Q97" t="str">
        <f t="shared" si="2"/>
        <v>eliptica</v>
      </c>
    </row>
    <row r="98" spans="1:17" x14ac:dyDescent="0.35">
      <c r="A98" t="s">
        <v>12</v>
      </c>
      <c r="B98">
        <v>134.22200000000001</v>
      </c>
      <c r="C98">
        <v>123.858</v>
      </c>
      <c r="D98">
        <v>135</v>
      </c>
      <c r="E98">
        <v>62</v>
      </c>
      <c r="F98">
        <v>156</v>
      </c>
      <c r="G98">
        <v>49.765000000000001</v>
      </c>
      <c r="H98">
        <v>9.8309999999999995</v>
      </c>
      <c r="I98">
        <v>17.460999999999999</v>
      </c>
      <c r="J98">
        <v>0.68100000000000005</v>
      </c>
      <c r="K98">
        <v>16624.425999999999</v>
      </c>
      <c r="L98">
        <v>129</v>
      </c>
      <c r="M98">
        <v>1.8080000000000001</v>
      </c>
      <c r="N98">
        <v>0.55300000000000005</v>
      </c>
      <c r="O98">
        <v>0.98299999999999998</v>
      </c>
      <c r="P98" s="2">
        <f t="shared" si="3"/>
        <v>1.7761163665954633</v>
      </c>
      <c r="Q98" t="str">
        <f t="shared" si="2"/>
        <v>eliptica</v>
      </c>
    </row>
    <row r="99" spans="1:17" x14ac:dyDescent="0.35">
      <c r="A99" t="s">
        <v>12</v>
      </c>
      <c r="B99">
        <v>88.671999999999997</v>
      </c>
      <c r="C99">
        <v>95.138000000000005</v>
      </c>
      <c r="D99">
        <v>102</v>
      </c>
      <c r="E99">
        <v>60</v>
      </c>
      <c r="F99">
        <v>121</v>
      </c>
      <c r="G99">
        <v>44.192</v>
      </c>
      <c r="H99">
        <v>8.9019999999999992</v>
      </c>
      <c r="I99">
        <v>13.255000000000001</v>
      </c>
      <c r="J99">
        <v>0.57099999999999995</v>
      </c>
      <c r="K99">
        <v>8436.0939999999991</v>
      </c>
      <c r="L99">
        <v>98</v>
      </c>
      <c r="M99">
        <v>1.5009999999999999</v>
      </c>
      <c r="N99">
        <v>0.66600000000000004</v>
      </c>
      <c r="O99">
        <v>0.97599999999999998</v>
      </c>
      <c r="P99" s="2">
        <f t="shared" si="3"/>
        <v>1.4889912379240622</v>
      </c>
      <c r="Q99" t="str">
        <f t="shared" si="2"/>
        <v>esferica</v>
      </c>
    </row>
    <row r="100" spans="1:17" x14ac:dyDescent="0.35">
      <c r="A100" t="s">
        <v>12</v>
      </c>
      <c r="B100">
        <v>104.033</v>
      </c>
      <c r="C100">
        <v>121.95699999999999</v>
      </c>
      <c r="D100">
        <v>128</v>
      </c>
      <c r="E100">
        <v>63</v>
      </c>
      <c r="F100">
        <v>160</v>
      </c>
      <c r="G100">
        <v>43.929000000000002</v>
      </c>
      <c r="H100">
        <v>9.3420000000000005</v>
      </c>
      <c r="I100">
        <v>13.548</v>
      </c>
      <c r="J100">
        <v>0.67700000000000005</v>
      </c>
      <c r="K100">
        <v>12687.549000000001</v>
      </c>
      <c r="L100">
        <v>128</v>
      </c>
      <c r="M100">
        <v>1.4830000000000001</v>
      </c>
      <c r="N100">
        <v>0.67400000000000004</v>
      </c>
      <c r="O100">
        <v>0.98099999999999998</v>
      </c>
      <c r="P100" s="2">
        <f t="shared" si="3"/>
        <v>1.4502247912652537</v>
      </c>
      <c r="Q100" t="str">
        <f t="shared" si="2"/>
        <v>esferica</v>
      </c>
    </row>
    <row r="101" spans="1:17" x14ac:dyDescent="0.35">
      <c r="A101" t="s">
        <v>12</v>
      </c>
      <c r="B101">
        <v>58.734999999999999</v>
      </c>
      <c r="C101">
        <v>112.11199999999999</v>
      </c>
      <c r="D101">
        <v>123</v>
      </c>
      <c r="E101">
        <v>62</v>
      </c>
      <c r="F101">
        <v>147</v>
      </c>
      <c r="G101">
        <v>35.045000000000002</v>
      </c>
      <c r="H101">
        <v>6.407</v>
      </c>
      <c r="I101">
        <v>11.933999999999999</v>
      </c>
      <c r="J101">
        <v>0.60099999999999998</v>
      </c>
      <c r="K101">
        <v>6584.9409999999998</v>
      </c>
      <c r="L101">
        <v>116</v>
      </c>
      <c r="M101">
        <v>1.9490000000000001</v>
      </c>
      <c r="N101">
        <v>0.51300000000000001</v>
      </c>
      <c r="O101">
        <v>0.97799999999999998</v>
      </c>
      <c r="P101" s="2">
        <f t="shared" si="3"/>
        <v>1.8626502263149678</v>
      </c>
      <c r="Q101" t="str">
        <f t="shared" si="2"/>
        <v>eliptica</v>
      </c>
    </row>
    <row r="102" spans="1:17" x14ac:dyDescent="0.35">
      <c r="A102" t="s">
        <v>13</v>
      </c>
      <c r="B102">
        <v>94.768000000000001</v>
      </c>
      <c r="C102">
        <v>120.886</v>
      </c>
      <c r="D102">
        <v>139</v>
      </c>
      <c r="E102">
        <v>62</v>
      </c>
      <c r="F102">
        <v>154</v>
      </c>
      <c r="G102">
        <v>49.883000000000003</v>
      </c>
      <c r="H102">
        <v>6.7990000000000004</v>
      </c>
      <c r="I102">
        <v>17.363</v>
      </c>
      <c r="J102">
        <v>0.47899999999999998</v>
      </c>
      <c r="K102">
        <v>11456.102999999999</v>
      </c>
      <c r="L102">
        <v>125</v>
      </c>
      <c r="M102">
        <v>2.5409999999999999</v>
      </c>
      <c r="N102">
        <v>0.39400000000000002</v>
      </c>
      <c r="O102">
        <v>0.96699999999999997</v>
      </c>
      <c r="P102" s="2">
        <f t="shared" si="3"/>
        <v>2.5537579055743489</v>
      </c>
      <c r="Q102" t="str">
        <f t="shared" si="2"/>
        <v>alongada</v>
      </c>
    </row>
    <row r="103" spans="1:17" x14ac:dyDescent="0.35">
      <c r="A103" t="s">
        <v>13</v>
      </c>
      <c r="B103">
        <v>161.93899999999999</v>
      </c>
      <c r="C103">
        <v>117.724</v>
      </c>
      <c r="D103">
        <v>128</v>
      </c>
      <c r="E103">
        <v>66</v>
      </c>
      <c r="F103">
        <v>143</v>
      </c>
      <c r="G103">
        <v>54.533000000000001</v>
      </c>
      <c r="H103">
        <v>11.103</v>
      </c>
      <c r="I103">
        <v>18.146000000000001</v>
      </c>
      <c r="J103">
        <v>0.68400000000000005</v>
      </c>
      <c r="K103">
        <v>19064.016</v>
      </c>
      <c r="L103">
        <v>122</v>
      </c>
      <c r="M103">
        <v>1.6180000000000001</v>
      </c>
      <c r="N103">
        <v>0.61799999999999999</v>
      </c>
      <c r="O103">
        <v>0.98599999999999999</v>
      </c>
      <c r="P103" s="2">
        <f t="shared" si="3"/>
        <v>1.6343330631360895</v>
      </c>
      <c r="Q103" t="str">
        <f t="shared" si="2"/>
        <v>eliptica</v>
      </c>
    </row>
    <row r="104" spans="1:17" x14ac:dyDescent="0.35">
      <c r="A104" t="s">
        <v>13</v>
      </c>
      <c r="B104">
        <v>107.66200000000001</v>
      </c>
      <c r="C104">
        <v>120.532</v>
      </c>
      <c r="D104">
        <v>132</v>
      </c>
      <c r="E104">
        <v>65</v>
      </c>
      <c r="F104">
        <v>156</v>
      </c>
      <c r="G104">
        <v>47.094999999999999</v>
      </c>
      <c r="H104">
        <v>9.2929999999999993</v>
      </c>
      <c r="I104">
        <v>14.331</v>
      </c>
      <c r="J104">
        <v>0.61</v>
      </c>
      <c r="K104">
        <v>12976.793</v>
      </c>
      <c r="L104">
        <v>124</v>
      </c>
      <c r="M104">
        <v>1.61</v>
      </c>
      <c r="N104">
        <v>0.621</v>
      </c>
      <c r="O104">
        <v>0.97699999999999998</v>
      </c>
      <c r="P104" s="2">
        <f t="shared" si="3"/>
        <v>1.5421284838050147</v>
      </c>
      <c r="Q104" t="str">
        <f t="shared" si="2"/>
        <v>eliptica</v>
      </c>
    </row>
    <row r="105" spans="1:17" x14ac:dyDescent="0.35">
      <c r="A105" t="s">
        <v>13</v>
      </c>
      <c r="B105">
        <v>131.02099999999999</v>
      </c>
      <c r="C105">
        <v>134.68700000000001</v>
      </c>
      <c r="D105">
        <v>158</v>
      </c>
      <c r="E105">
        <v>49</v>
      </c>
      <c r="F105">
        <v>170</v>
      </c>
      <c r="G105">
        <v>54.622</v>
      </c>
      <c r="H105">
        <v>10.663</v>
      </c>
      <c r="I105">
        <v>15.456</v>
      </c>
      <c r="J105">
        <v>0.55200000000000005</v>
      </c>
      <c r="K105">
        <v>17646.829000000002</v>
      </c>
      <c r="L105">
        <v>141</v>
      </c>
      <c r="M105">
        <v>1.4710000000000001</v>
      </c>
      <c r="N105">
        <v>0.68</v>
      </c>
      <c r="O105">
        <v>0.97799999999999998</v>
      </c>
      <c r="P105" s="2">
        <f t="shared" si="3"/>
        <v>1.4494982650286035</v>
      </c>
      <c r="Q105" t="str">
        <f t="shared" si="2"/>
        <v>esferica</v>
      </c>
    </row>
    <row r="106" spans="1:17" x14ac:dyDescent="0.35">
      <c r="A106" t="s">
        <v>13</v>
      </c>
      <c r="B106">
        <v>91.052999999999997</v>
      </c>
      <c r="C106">
        <v>118.09399999999999</v>
      </c>
      <c r="D106">
        <v>128</v>
      </c>
      <c r="E106">
        <v>63</v>
      </c>
      <c r="F106">
        <v>148</v>
      </c>
      <c r="G106">
        <v>43.487000000000002</v>
      </c>
      <c r="H106">
        <v>8.5109999999999992</v>
      </c>
      <c r="I106">
        <v>14.624000000000001</v>
      </c>
      <c r="J106">
        <v>0.60499999999999998</v>
      </c>
      <c r="K106">
        <v>10752.745000000001</v>
      </c>
      <c r="L106">
        <v>124</v>
      </c>
      <c r="M106">
        <v>1.9079999999999999</v>
      </c>
      <c r="N106">
        <v>0.52400000000000002</v>
      </c>
      <c r="O106">
        <v>0.97599999999999998</v>
      </c>
      <c r="P106" s="2">
        <f t="shared" si="3"/>
        <v>1.7182469745035838</v>
      </c>
      <c r="Q106" t="str">
        <f t="shared" si="2"/>
        <v>eliptica</v>
      </c>
    </row>
    <row r="107" spans="1:17" x14ac:dyDescent="0.35">
      <c r="A107" t="s">
        <v>13</v>
      </c>
      <c r="B107">
        <v>128.32</v>
      </c>
      <c r="C107">
        <v>137.107</v>
      </c>
      <c r="D107">
        <v>153</v>
      </c>
      <c r="E107">
        <v>65</v>
      </c>
      <c r="F107">
        <v>171</v>
      </c>
      <c r="G107">
        <v>49.725000000000001</v>
      </c>
      <c r="H107">
        <v>10.516</v>
      </c>
      <c r="I107">
        <v>15.407</v>
      </c>
      <c r="J107">
        <v>0.65200000000000002</v>
      </c>
      <c r="K107">
        <v>17593.555</v>
      </c>
      <c r="L107">
        <v>144</v>
      </c>
      <c r="M107">
        <v>1.5389999999999999</v>
      </c>
      <c r="N107">
        <v>0.65</v>
      </c>
      <c r="O107">
        <v>0.98099999999999998</v>
      </c>
      <c r="P107" s="2">
        <f t="shared" si="3"/>
        <v>1.4651007987828071</v>
      </c>
      <c r="Q107" t="str">
        <f t="shared" si="2"/>
        <v>esferica</v>
      </c>
    </row>
    <row r="108" spans="1:17" x14ac:dyDescent="0.35">
      <c r="A108" t="s">
        <v>13</v>
      </c>
      <c r="B108">
        <v>98.647999999999996</v>
      </c>
      <c r="C108">
        <v>122.889</v>
      </c>
      <c r="D108">
        <v>136</v>
      </c>
      <c r="E108">
        <v>64</v>
      </c>
      <c r="F108">
        <v>151</v>
      </c>
      <c r="G108">
        <v>45.398000000000003</v>
      </c>
      <c r="H108">
        <v>8.07</v>
      </c>
      <c r="I108">
        <v>15.407</v>
      </c>
      <c r="J108">
        <v>0.60099999999999998</v>
      </c>
      <c r="K108">
        <v>12122.825999999999</v>
      </c>
      <c r="L108">
        <v>129</v>
      </c>
      <c r="M108">
        <v>1.889</v>
      </c>
      <c r="N108">
        <v>0.53</v>
      </c>
      <c r="O108">
        <v>0.97799999999999998</v>
      </c>
      <c r="P108" s="2">
        <f t="shared" si="3"/>
        <v>1.9091697645600991</v>
      </c>
      <c r="Q108" t="str">
        <f t="shared" si="2"/>
        <v>eliptica</v>
      </c>
    </row>
    <row r="109" spans="1:17" x14ac:dyDescent="0.35">
      <c r="A109" t="s">
        <v>13</v>
      </c>
      <c r="B109">
        <v>85.632000000000005</v>
      </c>
      <c r="C109">
        <v>112.325</v>
      </c>
      <c r="D109">
        <v>138</v>
      </c>
      <c r="E109">
        <v>63</v>
      </c>
      <c r="F109">
        <v>148</v>
      </c>
      <c r="G109">
        <v>52.015999999999998</v>
      </c>
      <c r="H109">
        <v>7.7279999999999998</v>
      </c>
      <c r="I109">
        <v>14.673</v>
      </c>
      <c r="J109">
        <v>0.39800000000000002</v>
      </c>
      <c r="K109">
        <v>9618.5810000000001</v>
      </c>
      <c r="L109">
        <v>117</v>
      </c>
      <c r="M109">
        <v>1.907</v>
      </c>
      <c r="N109">
        <v>0.52400000000000002</v>
      </c>
      <c r="O109">
        <v>0.96299999999999997</v>
      </c>
      <c r="P109" s="2">
        <f t="shared" si="3"/>
        <v>1.8986801242236024</v>
      </c>
      <c r="Q109" t="str">
        <f t="shared" si="2"/>
        <v>eliptica</v>
      </c>
    </row>
    <row r="110" spans="1:17" x14ac:dyDescent="0.35">
      <c r="A110" t="s">
        <v>13</v>
      </c>
      <c r="B110">
        <v>111.378</v>
      </c>
      <c r="C110">
        <v>125.88200000000001</v>
      </c>
      <c r="D110">
        <v>147</v>
      </c>
      <c r="E110">
        <v>62</v>
      </c>
      <c r="F110">
        <v>162</v>
      </c>
      <c r="G110">
        <v>47.786000000000001</v>
      </c>
      <c r="H110">
        <v>8.9510000000000005</v>
      </c>
      <c r="I110">
        <v>14.82</v>
      </c>
      <c r="J110">
        <v>0.61299999999999999</v>
      </c>
      <c r="K110">
        <v>14020.424999999999</v>
      </c>
      <c r="L110">
        <v>132</v>
      </c>
      <c r="M110">
        <v>1.663</v>
      </c>
      <c r="N110">
        <v>0.60099999999999998</v>
      </c>
      <c r="O110">
        <v>0.98</v>
      </c>
      <c r="P110" s="2">
        <f t="shared" si="3"/>
        <v>1.6556809295050832</v>
      </c>
      <c r="Q110" t="str">
        <f t="shared" si="2"/>
        <v>eliptica</v>
      </c>
    </row>
    <row r="111" spans="1:17" x14ac:dyDescent="0.35">
      <c r="A111" t="s">
        <v>13</v>
      </c>
      <c r="B111">
        <v>65.769000000000005</v>
      </c>
      <c r="C111">
        <v>106.383</v>
      </c>
      <c r="D111">
        <v>122</v>
      </c>
      <c r="E111">
        <v>60</v>
      </c>
      <c r="F111">
        <v>138</v>
      </c>
      <c r="G111">
        <v>43.587000000000003</v>
      </c>
      <c r="H111">
        <v>7.6790000000000003</v>
      </c>
      <c r="I111">
        <v>12.179</v>
      </c>
      <c r="J111">
        <v>0.435</v>
      </c>
      <c r="K111">
        <v>6996.66</v>
      </c>
      <c r="L111">
        <v>111</v>
      </c>
      <c r="M111">
        <v>1.5720000000000001</v>
      </c>
      <c r="N111">
        <v>0.63600000000000001</v>
      </c>
      <c r="O111">
        <v>0.95099999999999996</v>
      </c>
      <c r="P111" s="2">
        <f t="shared" si="3"/>
        <v>1.5860138038807137</v>
      </c>
      <c r="Q111" t="str">
        <f t="shared" si="2"/>
        <v>eliptica</v>
      </c>
    </row>
    <row r="112" spans="1:17" x14ac:dyDescent="0.35">
      <c r="A112" t="s">
        <v>13</v>
      </c>
      <c r="B112">
        <v>93.959000000000003</v>
      </c>
      <c r="C112">
        <v>135.05500000000001</v>
      </c>
      <c r="D112">
        <v>153</v>
      </c>
      <c r="E112">
        <v>64</v>
      </c>
      <c r="F112">
        <v>164</v>
      </c>
      <c r="G112">
        <v>40.095999999999997</v>
      </c>
      <c r="H112">
        <v>8.7550000000000008</v>
      </c>
      <c r="I112">
        <v>13.499000000000001</v>
      </c>
      <c r="J112">
        <v>0.73399999999999999</v>
      </c>
      <c r="K112">
        <v>12689.665999999999</v>
      </c>
      <c r="L112">
        <v>141</v>
      </c>
      <c r="M112">
        <v>1.538</v>
      </c>
      <c r="N112">
        <v>0.65</v>
      </c>
      <c r="O112">
        <v>0.98399999999999999</v>
      </c>
      <c r="P112" s="2">
        <f t="shared" si="3"/>
        <v>1.5418617932609937</v>
      </c>
      <c r="Q112" t="str">
        <f t="shared" si="2"/>
        <v>eliptica</v>
      </c>
    </row>
    <row r="113" spans="1:17" x14ac:dyDescent="0.35">
      <c r="A113" t="s">
        <v>13</v>
      </c>
      <c r="B113">
        <v>116.928</v>
      </c>
      <c r="C113">
        <v>126.59699999999999</v>
      </c>
      <c r="D113">
        <v>142</v>
      </c>
      <c r="E113">
        <v>66</v>
      </c>
      <c r="F113">
        <v>156</v>
      </c>
      <c r="G113">
        <v>44.253999999999998</v>
      </c>
      <c r="H113">
        <v>9.5380000000000003</v>
      </c>
      <c r="I113">
        <v>15.407</v>
      </c>
      <c r="J113">
        <v>0.75</v>
      </c>
      <c r="K113">
        <v>14802.722</v>
      </c>
      <c r="L113">
        <v>132</v>
      </c>
      <c r="M113">
        <v>1.6160000000000001</v>
      </c>
      <c r="N113">
        <v>0.61899999999999999</v>
      </c>
      <c r="O113">
        <v>0.98599999999999999</v>
      </c>
      <c r="P113" s="2">
        <f t="shared" si="3"/>
        <v>1.6153281610400503</v>
      </c>
      <c r="Q113" t="str">
        <f t="shared" si="2"/>
        <v>eliptica</v>
      </c>
    </row>
    <row r="114" spans="1:17" x14ac:dyDescent="0.35">
      <c r="A114" t="s">
        <v>13</v>
      </c>
      <c r="B114">
        <v>126.569</v>
      </c>
      <c r="C114">
        <v>126.283</v>
      </c>
      <c r="D114">
        <v>153</v>
      </c>
      <c r="E114">
        <v>63</v>
      </c>
      <c r="F114">
        <v>166</v>
      </c>
      <c r="G114">
        <v>49.634999999999998</v>
      </c>
      <c r="H114">
        <v>10.026999999999999</v>
      </c>
      <c r="I114">
        <v>15.7</v>
      </c>
      <c r="J114">
        <v>0.64600000000000002</v>
      </c>
      <c r="K114">
        <v>15983.439</v>
      </c>
      <c r="L114">
        <v>132</v>
      </c>
      <c r="M114">
        <v>1.577</v>
      </c>
      <c r="N114">
        <v>0.63400000000000001</v>
      </c>
      <c r="O114">
        <v>0.98099999999999998</v>
      </c>
      <c r="P114" s="2">
        <f t="shared" si="3"/>
        <v>1.5657724144809015</v>
      </c>
      <c r="Q114" t="str">
        <f t="shared" si="2"/>
        <v>eliptica</v>
      </c>
    </row>
    <row r="115" spans="1:17" x14ac:dyDescent="0.35">
      <c r="A115" t="s">
        <v>13</v>
      </c>
      <c r="B115">
        <v>108.58799999999999</v>
      </c>
      <c r="C115">
        <v>122.066</v>
      </c>
      <c r="D115">
        <v>143</v>
      </c>
      <c r="E115">
        <v>64</v>
      </c>
      <c r="F115">
        <v>158</v>
      </c>
      <c r="G115">
        <v>46.981999999999999</v>
      </c>
      <c r="H115">
        <v>9.44</v>
      </c>
      <c r="I115">
        <v>14.967000000000001</v>
      </c>
      <c r="J115">
        <v>0.61799999999999999</v>
      </c>
      <c r="K115">
        <v>13254.946</v>
      </c>
      <c r="L115">
        <v>128</v>
      </c>
      <c r="M115">
        <v>1.546</v>
      </c>
      <c r="N115">
        <v>0.64700000000000002</v>
      </c>
      <c r="O115">
        <v>0.97399999999999998</v>
      </c>
      <c r="P115" s="2">
        <f t="shared" si="3"/>
        <v>1.5854872881355933</v>
      </c>
      <c r="Q115" t="str">
        <f t="shared" si="2"/>
        <v>eliptica</v>
      </c>
    </row>
    <row r="116" spans="1:17" x14ac:dyDescent="0.35">
      <c r="A116" t="s">
        <v>13</v>
      </c>
      <c r="B116">
        <v>105.256</v>
      </c>
      <c r="C116">
        <v>125.684</v>
      </c>
      <c r="D116">
        <v>149</v>
      </c>
      <c r="E116">
        <v>63</v>
      </c>
      <c r="F116">
        <v>161</v>
      </c>
      <c r="G116">
        <v>46.658000000000001</v>
      </c>
      <c r="H116">
        <v>9.3420000000000005</v>
      </c>
      <c r="I116">
        <v>14.38</v>
      </c>
      <c r="J116">
        <v>0.60799999999999998</v>
      </c>
      <c r="K116">
        <v>13228.987999999999</v>
      </c>
      <c r="L116">
        <v>133</v>
      </c>
      <c r="M116">
        <v>1.571</v>
      </c>
      <c r="N116">
        <v>0.63700000000000001</v>
      </c>
      <c r="O116">
        <v>0.97799999999999998</v>
      </c>
      <c r="P116" s="2">
        <f t="shared" si="3"/>
        <v>1.539284949689574</v>
      </c>
      <c r="Q116" t="str">
        <f t="shared" si="2"/>
        <v>eliptica</v>
      </c>
    </row>
    <row r="117" spans="1:17" x14ac:dyDescent="0.35">
      <c r="A117" t="s">
        <v>13</v>
      </c>
      <c r="B117">
        <v>160.72999999999999</v>
      </c>
      <c r="C117">
        <v>127.824</v>
      </c>
      <c r="D117">
        <v>153</v>
      </c>
      <c r="E117">
        <v>61</v>
      </c>
      <c r="F117">
        <v>164</v>
      </c>
      <c r="G117">
        <v>55.591999999999999</v>
      </c>
      <c r="H117">
        <v>11.739000000000001</v>
      </c>
      <c r="I117">
        <v>17.119</v>
      </c>
      <c r="J117">
        <v>0.65400000000000003</v>
      </c>
      <c r="K117">
        <v>20545.173999999999</v>
      </c>
      <c r="L117">
        <v>131</v>
      </c>
      <c r="M117">
        <v>1.45</v>
      </c>
      <c r="N117">
        <v>0.68899999999999995</v>
      </c>
      <c r="O117">
        <v>0.98099999999999998</v>
      </c>
      <c r="P117" s="2">
        <f t="shared" si="3"/>
        <v>1.4583013885339466</v>
      </c>
      <c r="Q117" t="str">
        <f t="shared" si="2"/>
        <v>esferica</v>
      </c>
    </row>
    <row r="118" spans="1:17" x14ac:dyDescent="0.35">
      <c r="A118" t="s">
        <v>13</v>
      </c>
      <c r="B118">
        <v>115.911</v>
      </c>
      <c r="C118">
        <v>99.861999999999995</v>
      </c>
      <c r="D118">
        <v>102</v>
      </c>
      <c r="E118">
        <v>63</v>
      </c>
      <c r="F118">
        <v>126</v>
      </c>
      <c r="G118">
        <v>53.845999999999997</v>
      </c>
      <c r="H118">
        <v>9.6839999999999993</v>
      </c>
      <c r="I118">
        <v>15.211</v>
      </c>
      <c r="J118">
        <v>0.502</v>
      </c>
      <c r="K118">
        <v>11575.055</v>
      </c>
      <c r="L118">
        <v>102</v>
      </c>
      <c r="M118">
        <v>1.5680000000000001</v>
      </c>
      <c r="N118">
        <v>0.63800000000000001</v>
      </c>
      <c r="O118">
        <v>0.97699999999999998</v>
      </c>
      <c r="P118" s="2">
        <f t="shared" si="3"/>
        <v>1.5707352333746387</v>
      </c>
      <c r="Q118" t="str">
        <f t="shared" si="2"/>
        <v>eliptica</v>
      </c>
    </row>
    <row r="119" spans="1:17" x14ac:dyDescent="0.35">
      <c r="A119" t="s">
        <v>13</v>
      </c>
      <c r="B119">
        <v>84.837999999999994</v>
      </c>
      <c r="C119">
        <v>115.876</v>
      </c>
      <c r="D119">
        <v>136</v>
      </c>
      <c r="E119">
        <v>66</v>
      </c>
      <c r="F119">
        <v>151</v>
      </c>
      <c r="G119">
        <v>42.075000000000003</v>
      </c>
      <c r="H119">
        <v>8.7059999999999995</v>
      </c>
      <c r="I119">
        <v>13.01</v>
      </c>
      <c r="J119">
        <v>0.60199999999999998</v>
      </c>
      <c r="K119">
        <v>9830.6720000000005</v>
      </c>
      <c r="L119">
        <v>120</v>
      </c>
      <c r="M119">
        <v>1.5069999999999999</v>
      </c>
      <c r="N119">
        <v>0.66400000000000003</v>
      </c>
      <c r="O119">
        <v>0.96399999999999997</v>
      </c>
      <c r="P119" s="2">
        <f t="shared" si="3"/>
        <v>1.4943716976797612</v>
      </c>
      <c r="Q119" t="str">
        <f t="shared" si="2"/>
        <v>esferica</v>
      </c>
    </row>
    <row r="120" spans="1:17" x14ac:dyDescent="0.35">
      <c r="A120" t="s">
        <v>13</v>
      </c>
      <c r="B120">
        <v>92.046000000000006</v>
      </c>
      <c r="C120">
        <v>114.851</v>
      </c>
      <c r="D120">
        <v>139</v>
      </c>
      <c r="E120">
        <v>64</v>
      </c>
      <c r="F120">
        <v>152</v>
      </c>
      <c r="G120">
        <v>47.344000000000001</v>
      </c>
      <c r="H120">
        <v>7.9240000000000004</v>
      </c>
      <c r="I120">
        <v>14.233000000000001</v>
      </c>
      <c r="J120">
        <v>0.51600000000000001</v>
      </c>
      <c r="K120">
        <v>10571.484</v>
      </c>
      <c r="L120">
        <v>119</v>
      </c>
      <c r="M120">
        <v>1.786</v>
      </c>
      <c r="N120">
        <v>0.56000000000000005</v>
      </c>
      <c r="O120">
        <v>0.97</v>
      </c>
      <c r="P120" s="2">
        <f t="shared" si="3"/>
        <v>1.7961887935386169</v>
      </c>
      <c r="Q120" t="str">
        <f t="shared" si="2"/>
        <v>eliptica</v>
      </c>
    </row>
    <row r="121" spans="1:17" x14ac:dyDescent="0.35">
      <c r="A121" t="s">
        <v>13</v>
      </c>
      <c r="B121">
        <v>110.837</v>
      </c>
      <c r="C121">
        <v>119.935</v>
      </c>
      <c r="D121">
        <v>144</v>
      </c>
      <c r="E121">
        <v>64</v>
      </c>
      <c r="F121">
        <v>157</v>
      </c>
      <c r="G121">
        <v>47.308999999999997</v>
      </c>
      <c r="H121">
        <v>9.7330000000000005</v>
      </c>
      <c r="I121">
        <v>13.842000000000001</v>
      </c>
      <c r="J121">
        <v>0.622</v>
      </c>
      <c r="K121">
        <v>13293.268</v>
      </c>
      <c r="L121">
        <v>125</v>
      </c>
      <c r="M121">
        <v>1.41</v>
      </c>
      <c r="N121">
        <v>0.70899999999999996</v>
      </c>
      <c r="O121">
        <v>0.98</v>
      </c>
      <c r="P121" s="2">
        <f t="shared" si="3"/>
        <v>1.4221719921915135</v>
      </c>
      <c r="Q121" t="str">
        <f t="shared" si="2"/>
        <v>esferica</v>
      </c>
    </row>
    <row r="122" spans="1:17" x14ac:dyDescent="0.35">
      <c r="A122" t="s">
        <v>13</v>
      </c>
      <c r="B122">
        <v>69.203999999999994</v>
      </c>
      <c r="C122">
        <v>114.07</v>
      </c>
      <c r="D122">
        <v>129</v>
      </c>
      <c r="E122">
        <v>64</v>
      </c>
      <c r="F122">
        <v>144</v>
      </c>
      <c r="G122">
        <v>38.07</v>
      </c>
      <c r="H122">
        <v>7.3369999999999997</v>
      </c>
      <c r="I122">
        <v>11.983000000000001</v>
      </c>
      <c r="J122">
        <v>0.6</v>
      </c>
      <c r="K122">
        <v>7894.1090000000004</v>
      </c>
      <c r="L122">
        <v>119</v>
      </c>
      <c r="M122">
        <v>1.631</v>
      </c>
      <c r="N122">
        <v>0.61299999999999999</v>
      </c>
      <c r="O122">
        <v>0.97499999999999998</v>
      </c>
      <c r="P122" s="2">
        <f t="shared" si="3"/>
        <v>1.633228840125392</v>
      </c>
      <c r="Q122" t="str">
        <f t="shared" si="2"/>
        <v>eliptica</v>
      </c>
    </row>
    <row r="123" spans="1:17" x14ac:dyDescent="0.35">
      <c r="A123" t="s">
        <v>13</v>
      </c>
      <c r="B123">
        <v>86.546000000000006</v>
      </c>
      <c r="C123">
        <v>123.161</v>
      </c>
      <c r="D123">
        <v>142</v>
      </c>
      <c r="E123">
        <v>65</v>
      </c>
      <c r="F123">
        <v>155</v>
      </c>
      <c r="G123">
        <v>40.180999999999997</v>
      </c>
      <c r="H123">
        <v>7.9240000000000004</v>
      </c>
      <c r="I123">
        <v>13.842000000000001</v>
      </c>
      <c r="J123">
        <v>0.67400000000000004</v>
      </c>
      <c r="K123">
        <v>10659.092000000001</v>
      </c>
      <c r="L123">
        <v>129</v>
      </c>
      <c r="M123">
        <v>1.74</v>
      </c>
      <c r="N123">
        <v>0.57499999999999996</v>
      </c>
      <c r="O123">
        <v>0.98399999999999999</v>
      </c>
      <c r="P123" s="2">
        <f t="shared" si="3"/>
        <v>1.7468450277637557</v>
      </c>
      <c r="Q123" t="str">
        <f t="shared" si="2"/>
        <v>eliptica</v>
      </c>
    </row>
    <row r="124" spans="1:17" x14ac:dyDescent="0.35">
      <c r="A124" t="s">
        <v>13</v>
      </c>
      <c r="B124">
        <v>91.799000000000007</v>
      </c>
      <c r="C124">
        <v>126.18600000000001</v>
      </c>
      <c r="D124">
        <v>142</v>
      </c>
      <c r="E124">
        <v>65</v>
      </c>
      <c r="F124">
        <v>156</v>
      </c>
      <c r="G124">
        <v>40.414999999999999</v>
      </c>
      <c r="H124">
        <v>8.9510000000000005</v>
      </c>
      <c r="I124">
        <v>12.913</v>
      </c>
      <c r="J124">
        <v>0.70599999999999996</v>
      </c>
      <c r="K124">
        <v>11583.806</v>
      </c>
      <c r="L124">
        <v>132</v>
      </c>
      <c r="M124">
        <v>1.512</v>
      </c>
      <c r="N124">
        <v>0.66100000000000003</v>
      </c>
      <c r="O124">
        <v>0.98299999999999998</v>
      </c>
      <c r="P124" s="2">
        <f t="shared" si="3"/>
        <v>1.4426321081443414</v>
      </c>
      <c r="Q124" t="str">
        <f t="shared" si="2"/>
        <v>esferica</v>
      </c>
    </row>
    <row r="125" spans="1:17" x14ac:dyDescent="0.35">
      <c r="A125" t="s">
        <v>13</v>
      </c>
      <c r="B125">
        <v>56.805</v>
      </c>
      <c r="C125">
        <v>121.643</v>
      </c>
      <c r="D125">
        <v>134</v>
      </c>
      <c r="E125">
        <v>64</v>
      </c>
      <c r="F125">
        <v>148</v>
      </c>
      <c r="G125">
        <v>32.473999999999997</v>
      </c>
      <c r="H125">
        <v>6.6029999999999998</v>
      </c>
      <c r="I125">
        <v>10.956</v>
      </c>
      <c r="J125">
        <v>0.67700000000000005</v>
      </c>
      <c r="K125">
        <v>6909.8869999999997</v>
      </c>
      <c r="L125">
        <v>129</v>
      </c>
      <c r="M125">
        <v>1.6919999999999999</v>
      </c>
      <c r="N125">
        <v>0.59099999999999997</v>
      </c>
      <c r="O125">
        <v>0.97699999999999998</v>
      </c>
      <c r="P125" s="2">
        <f t="shared" si="3"/>
        <v>1.6592457973648342</v>
      </c>
      <c r="Q125" t="str">
        <f t="shared" si="2"/>
        <v>eliptica</v>
      </c>
    </row>
    <row r="126" spans="1:17" x14ac:dyDescent="0.35">
      <c r="A126" t="s">
        <v>13</v>
      </c>
      <c r="B126">
        <v>70.769000000000005</v>
      </c>
      <c r="C126">
        <v>93.93</v>
      </c>
      <c r="D126">
        <v>102</v>
      </c>
      <c r="E126">
        <v>60</v>
      </c>
      <c r="F126">
        <v>132</v>
      </c>
      <c r="G126">
        <v>55.170999999999999</v>
      </c>
      <c r="H126">
        <v>8.4619999999999997</v>
      </c>
      <c r="I126">
        <v>11.933999999999999</v>
      </c>
      <c r="J126">
        <v>0.29199999999999998</v>
      </c>
      <c r="K126">
        <v>6647.32</v>
      </c>
      <c r="L126">
        <v>97</v>
      </c>
      <c r="M126">
        <v>1.516</v>
      </c>
      <c r="N126">
        <v>0.65900000000000003</v>
      </c>
      <c r="O126">
        <v>0.94599999999999995</v>
      </c>
      <c r="P126" s="2">
        <f t="shared" si="3"/>
        <v>1.4103048924604111</v>
      </c>
      <c r="Q126" t="str">
        <f t="shared" si="2"/>
        <v>esferica</v>
      </c>
    </row>
    <row r="127" spans="1:17" x14ac:dyDescent="0.35">
      <c r="A127" t="s">
        <v>13</v>
      </c>
      <c r="B127">
        <v>126.99</v>
      </c>
      <c r="C127">
        <v>132.81899999999999</v>
      </c>
      <c r="D127">
        <v>153</v>
      </c>
      <c r="E127">
        <v>64</v>
      </c>
      <c r="F127">
        <v>164</v>
      </c>
      <c r="G127">
        <v>51.78</v>
      </c>
      <c r="H127">
        <v>9.2929999999999993</v>
      </c>
      <c r="I127">
        <v>16.678999999999998</v>
      </c>
      <c r="J127">
        <v>0.59499999999999997</v>
      </c>
      <c r="K127">
        <v>16866.670999999998</v>
      </c>
      <c r="L127">
        <v>140</v>
      </c>
      <c r="M127">
        <v>1.837</v>
      </c>
      <c r="N127">
        <v>0.54400000000000004</v>
      </c>
      <c r="O127">
        <v>0.97799999999999998</v>
      </c>
      <c r="P127" s="2">
        <f t="shared" si="3"/>
        <v>1.7947917787582051</v>
      </c>
      <c r="Q127" t="str">
        <f t="shared" si="2"/>
        <v>eliptica</v>
      </c>
    </row>
    <row r="128" spans="1:17" x14ac:dyDescent="0.35">
      <c r="A128" t="s">
        <v>13</v>
      </c>
      <c r="B128">
        <v>100.265</v>
      </c>
      <c r="C128">
        <v>103.84</v>
      </c>
      <c r="D128">
        <v>113</v>
      </c>
      <c r="E128">
        <v>61</v>
      </c>
      <c r="F128">
        <v>129</v>
      </c>
      <c r="G128">
        <v>48.136000000000003</v>
      </c>
      <c r="H128">
        <v>8.657</v>
      </c>
      <c r="I128">
        <v>14.967000000000001</v>
      </c>
      <c r="J128">
        <v>0.54400000000000004</v>
      </c>
      <c r="K128">
        <v>10411.571</v>
      </c>
      <c r="L128">
        <v>108</v>
      </c>
      <c r="M128">
        <v>1.768</v>
      </c>
      <c r="N128">
        <v>0.56599999999999995</v>
      </c>
      <c r="O128">
        <v>0.97699999999999998</v>
      </c>
      <c r="P128" s="2">
        <f t="shared" si="3"/>
        <v>1.7288899156751762</v>
      </c>
      <c r="Q128" t="str">
        <f t="shared" si="2"/>
        <v>eliptica</v>
      </c>
    </row>
    <row r="129" spans="1:17" x14ac:dyDescent="0.35">
      <c r="A129" t="s">
        <v>13</v>
      </c>
      <c r="B129">
        <v>104.03100000000001</v>
      </c>
      <c r="C129">
        <v>106.78100000000001</v>
      </c>
      <c r="D129">
        <v>119</v>
      </c>
      <c r="E129">
        <v>60</v>
      </c>
      <c r="F129">
        <v>130</v>
      </c>
      <c r="G129">
        <v>49.575000000000003</v>
      </c>
      <c r="H129">
        <v>8.8040000000000003</v>
      </c>
      <c r="I129">
        <v>15.7</v>
      </c>
      <c r="J129">
        <v>0.53200000000000003</v>
      </c>
      <c r="K129">
        <v>11108.53</v>
      </c>
      <c r="L129">
        <v>111</v>
      </c>
      <c r="M129">
        <v>1.8939999999999999</v>
      </c>
      <c r="N129">
        <v>0.52800000000000002</v>
      </c>
      <c r="O129">
        <v>0.97699999999999998</v>
      </c>
      <c r="P129" s="2">
        <f t="shared" si="3"/>
        <v>1.7832803271240345</v>
      </c>
      <c r="Q129" t="str">
        <f t="shared" si="2"/>
        <v>eliptica</v>
      </c>
    </row>
    <row r="130" spans="1:17" x14ac:dyDescent="0.35">
      <c r="A130" t="s">
        <v>13</v>
      </c>
      <c r="B130">
        <v>128.798</v>
      </c>
      <c r="C130">
        <v>122.661</v>
      </c>
      <c r="D130">
        <v>138</v>
      </c>
      <c r="E130">
        <v>62</v>
      </c>
      <c r="F130">
        <v>154</v>
      </c>
      <c r="G130">
        <v>56.237000000000002</v>
      </c>
      <c r="H130">
        <v>8.8529999999999998</v>
      </c>
      <c r="I130">
        <v>18.292999999999999</v>
      </c>
      <c r="J130">
        <v>0.51200000000000001</v>
      </c>
      <c r="K130">
        <v>15798.472</v>
      </c>
      <c r="L130">
        <v>131</v>
      </c>
      <c r="M130">
        <v>2.0590000000000002</v>
      </c>
      <c r="N130">
        <v>0.48599999999999999</v>
      </c>
      <c r="O130">
        <v>0.97899999999999998</v>
      </c>
      <c r="P130" s="2">
        <f t="shared" si="3"/>
        <v>2.0663052072743704</v>
      </c>
      <c r="Q130" t="str">
        <f t="shared" ref="Q130:Q193" si="4">IF(P130&lt;1,"ovoide",IF(P130&lt;1.5,"esferica",IF(P130&lt;2,"eliptica","alongada")))</f>
        <v>alongada</v>
      </c>
    </row>
    <row r="131" spans="1:17" x14ac:dyDescent="0.35">
      <c r="A131" t="s">
        <v>13</v>
      </c>
      <c r="B131">
        <v>106.27500000000001</v>
      </c>
      <c r="C131">
        <v>123.318</v>
      </c>
      <c r="D131">
        <v>143</v>
      </c>
      <c r="E131">
        <v>64</v>
      </c>
      <c r="F131">
        <v>159</v>
      </c>
      <c r="G131">
        <v>42.988999999999997</v>
      </c>
      <c r="H131">
        <v>9.1460000000000008</v>
      </c>
      <c r="I131">
        <v>14.429</v>
      </c>
      <c r="J131">
        <v>0.72299999999999998</v>
      </c>
      <c r="K131">
        <v>13105.576999999999</v>
      </c>
      <c r="L131">
        <v>128</v>
      </c>
      <c r="M131">
        <v>1.6040000000000001</v>
      </c>
      <c r="N131">
        <v>0.624</v>
      </c>
      <c r="O131">
        <v>0.98499999999999999</v>
      </c>
      <c r="P131" s="2">
        <f t="shared" ref="P131:P194" si="5">I131/H131</f>
        <v>1.5776295648370871</v>
      </c>
      <c r="Q131" t="str">
        <f t="shared" si="4"/>
        <v>eliptica</v>
      </c>
    </row>
    <row r="132" spans="1:17" x14ac:dyDescent="0.35">
      <c r="A132" t="s">
        <v>13</v>
      </c>
      <c r="B132">
        <v>90.28</v>
      </c>
      <c r="C132">
        <v>120.00700000000001</v>
      </c>
      <c r="D132">
        <v>138</v>
      </c>
      <c r="E132">
        <v>64</v>
      </c>
      <c r="F132">
        <v>148</v>
      </c>
      <c r="G132">
        <v>45.612000000000002</v>
      </c>
      <c r="H132">
        <v>8.1189999999999998</v>
      </c>
      <c r="I132">
        <v>14.722</v>
      </c>
      <c r="J132">
        <v>0.54500000000000004</v>
      </c>
      <c r="K132">
        <v>10834.25</v>
      </c>
      <c r="L132">
        <v>128</v>
      </c>
      <c r="M132">
        <v>1.98</v>
      </c>
      <c r="N132">
        <v>0.505</v>
      </c>
      <c r="O132">
        <v>0.97499999999999998</v>
      </c>
      <c r="P132" s="2">
        <f t="shared" si="5"/>
        <v>1.8132774972287227</v>
      </c>
      <c r="Q132" t="str">
        <f t="shared" si="4"/>
        <v>eliptica</v>
      </c>
    </row>
    <row r="133" spans="1:17" x14ac:dyDescent="0.35">
      <c r="A133" t="s">
        <v>13</v>
      </c>
      <c r="B133">
        <v>107.316</v>
      </c>
      <c r="C133">
        <v>118.377</v>
      </c>
      <c r="D133">
        <v>134</v>
      </c>
      <c r="E133">
        <v>64</v>
      </c>
      <c r="F133">
        <v>150</v>
      </c>
      <c r="G133">
        <v>44.436999999999998</v>
      </c>
      <c r="H133">
        <v>9.0489999999999995</v>
      </c>
      <c r="I133">
        <v>15.554</v>
      </c>
      <c r="J133">
        <v>0.68300000000000005</v>
      </c>
      <c r="K133">
        <v>12703.678</v>
      </c>
      <c r="L133">
        <v>121</v>
      </c>
      <c r="M133">
        <v>1.81</v>
      </c>
      <c r="N133">
        <v>0.55300000000000005</v>
      </c>
      <c r="O133">
        <v>0.98299999999999998</v>
      </c>
      <c r="P133" s="2">
        <f t="shared" si="5"/>
        <v>1.7188639628688254</v>
      </c>
      <c r="Q133" t="str">
        <f t="shared" si="4"/>
        <v>eliptica</v>
      </c>
    </row>
    <row r="134" spans="1:17" x14ac:dyDescent="0.35">
      <c r="A134" t="s">
        <v>13</v>
      </c>
      <c r="B134">
        <v>115.94199999999999</v>
      </c>
      <c r="C134">
        <v>123.544</v>
      </c>
      <c r="D134">
        <v>137</v>
      </c>
      <c r="E134">
        <v>61</v>
      </c>
      <c r="F134">
        <v>162</v>
      </c>
      <c r="G134">
        <v>48.246000000000002</v>
      </c>
      <c r="H134">
        <v>11.005000000000001</v>
      </c>
      <c r="I134">
        <v>13.499000000000001</v>
      </c>
      <c r="J134">
        <v>0.626</v>
      </c>
      <c r="K134">
        <v>14323.986999999999</v>
      </c>
      <c r="L134">
        <v>130</v>
      </c>
      <c r="M134">
        <v>1.2390000000000001</v>
      </c>
      <c r="N134">
        <v>0.80700000000000005</v>
      </c>
      <c r="O134">
        <v>0.97799999999999998</v>
      </c>
      <c r="P134" s="2">
        <f t="shared" si="5"/>
        <v>1.2266242616992276</v>
      </c>
      <c r="Q134" t="str">
        <f t="shared" si="4"/>
        <v>esferica</v>
      </c>
    </row>
    <row r="135" spans="1:17" x14ac:dyDescent="0.35">
      <c r="A135" t="s">
        <v>13</v>
      </c>
      <c r="B135">
        <v>95.66</v>
      </c>
      <c r="C135">
        <v>129.08099999999999</v>
      </c>
      <c r="D135">
        <v>152</v>
      </c>
      <c r="E135">
        <v>64</v>
      </c>
      <c r="F135">
        <v>165</v>
      </c>
      <c r="G135">
        <v>42.137</v>
      </c>
      <c r="H135">
        <v>9.4890000000000008</v>
      </c>
      <c r="I135">
        <v>13.792999999999999</v>
      </c>
      <c r="J135">
        <v>0.67700000000000005</v>
      </c>
      <c r="K135">
        <v>12347.904</v>
      </c>
      <c r="L135">
        <v>136</v>
      </c>
      <c r="M135">
        <v>1.4790000000000001</v>
      </c>
      <c r="N135">
        <v>0.67600000000000005</v>
      </c>
      <c r="O135">
        <v>0.97799999999999998</v>
      </c>
      <c r="P135" s="2">
        <f t="shared" si="5"/>
        <v>1.4535778269575297</v>
      </c>
      <c r="Q135" t="str">
        <f t="shared" si="4"/>
        <v>esferica</v>
      </c>
    </row>
    <row r="136" spans="1:17" x14ac:dyDescent="0.35">
      <c r="A136" t="s">
        <v>13</v>
      </c>
      <c r="B136">
        <v>130.387</v>
      </c>
      <c r="C136">
        <v>112.621</v>
      </c>
      <c r="D136">
        <v>127</v>
      </c>
      <c r="E136">
        <v>62</v>
      </c>
      <c r="F136">
        <v>148</v>
      </c>
      <c r="G136">
        <v>50.466000000000001</v>
      </c>
      <c r="H136">
        <v>11.054</v>
      </c>
      <c r="I136">
        <v>15.358000000000001</v>
      </c>
      <c r="J136">
        <v>0.64300000000000002</v>
      </c>
      <c r="K136">
        <v>14684.332</v>
      </c>
      <c r="L136">
        <v>117</v>
      </c>
      <c r="M136">
        <v>1.399</v>
      </c>
      <c r="N136">
        <v>0.71499999999999997</v>
      </c>
      <c r="O136">
        <v>0.98</v>
      </c>
      <c r="P136" s="2">
        <f t="shared" si="5"/>
        <v>1.389361317170255</v>
      </c>
      <c r="Q136" t="str">
        <f t="shared" si="4"/>
        <v>esferica</v>
      </c>
    </row>
    <row r="137" spans="1:17" x14ac:dyDescent="0.35">
      <c r="A137" t="s">
        <v>13</v>
      </c>
      <c r="B137">
        <v>98.17</v>
      </c>
      <c r="C137">
        <v>119.542</v>
      </c>
      <c r="D137">
        <v>132</v>
      </c>
      <c r="E137">
        <v>65</v>
      </c>
      <c r="F137">
        <v>154</v>
      </c>
      <c r="G137">
        <v>45.594999999999999</v>
      </c>
      <c r="H137">
        <v>8.657</v>
      </c>
      <c r="I137">
        <v>14.38</v>
      </c>
      <c r="J137">
        <v>0.59299999999999997</v>
      </c>
      <c r="K137">
        <v>11735.383</v>
      </c>
      <c r="L137">
        <v>124</v>
      </c>
      <c r="M137">
        <v>1.6970000000000001</v>
      </c>
      <c r="N137">
        <v>0.58899999999999997</v>
      </c>
      <c r="O137">
        <v>0.97699999999999998</v>
      </c>
      <c r="P137" s="2">
        <f t="shared" si="5"/>
        <v>1.6610835162296409</v>
      </c>
      <c r="Q137" t="str">
        <f t="shared" si="4"/>
        <v>eliptica</v>
      </c>
    </row>
    <row r="138" spans="1:17" x14ac:dyDescent="0.35">
      <c r="A138" t="s">
        <v>13</v>
      </c>
      <c r="B138">
        <v>73.3</v>
      </c>
      <c r="C138">
        <v>111.43</v>
      </c>
      <c r="D138">
        <v>134</v>
      </c>
      <c r="E138">
        <v>62</v>
      </c>
      <c r="F138">
        <v>148</v>
      </c>
      <c r="G138">
        <v>42.747</v>
      </c>
      <c r="H138">
        <v>6.8959999999999999</v>
      </c>
      <c r="I138">
        <v>13.792999999999999</v>
      </c>
      <c r="J138">
        <v>0.504</v>
      </c>
      <c r="K138">
        <v>8167.8059999999996</v>
      </c>
      <c r="L138">
        <v>114</v>
      </c>
      <c r="M138">
        <v>2.0459999999999998</v>
      </c>
      <c r="N138">
        <v>0.48899999999999999</v>
      </c>
      <c r="O138">
        <v>0.96699999999999997</v>
      </c>
      <c r="P138" s="2">
        <f t="shared" si="5"/>
        <v>2.0001450116009281</v>
      </c>
      <c r="Q138" t="str">
        <f t="shared" si="4"/>
        <v>alongada</v>
      </c>
    </row>
    <row r="139" spans="1:17" x14ac:dyDescent="0.35">
      <c r="A139" t="s">
        <v>13</v>
      </c>
      <c r="B139">
        <v>63.591999999999999</v>
      </c>
      <c r="C139">
        <v>112.938</v>
      </c>
      <c r="D139">
        <v>134</v>
      </c>
      <c r="E139">
        <v>64</v>
      </c>
      <c r="F139">
        <v>161</v>
      </c>
      <c r="G139">
        <v>34.993000000000002</v>
      </c>
      <c r="H139">
        <v>7.0430000000000001</v>
      </c>
      <c r="I139">
        <v>11.445</v>
      </c>
      <c r="J139">
        <v>0.65300000000000002</v>
      </c>
      <c r="K139">
        <v>7181.9160000000002</v>
      </c>
      <c r="L139">
        <v>115</v>
      </c>
      <c r="M139">
        <v>1.6990000000000001</v>
      </c>
      <c r="N139">
        <v>0.58899999999999997</v>
      </c>
      <c r="O139">
        <v>0.97699999999999998</v>
      </c>
      <c r="P139" s="2">
        <f t="shared" si="5"/>
        <v>1.6250177481186994</v>
      </c>
      <c r="Q139" t="str">
        <f t="shared" si="4"/>
        <v>eliptica</v>
      </c>
    </row>
    <row r="140" spans="1:17" x14ac:dyDescent="0.35">
      <c r="A140" t="s">
        <v>13</v>
      </c>
      <c r="B140">
        <v>96.427999999999997</v>
      </c>
      <c r="C140">
        <v>112.33199999999999</v>
      </c>
      <c r="D140">
        <v>133</v>
      </c>
      <c r="E140">
        <v>62</v>
      </c>
      <c r="F140">
        <v>145</v>
      </c>
      <c r="G140">
        <v>44.243000000000002</v>
      </c>
      <c r="H140">
        <v>10.271000000000001</v>
      </c>
      <c r="I140">
        <v>12.57</v>
      </c>
      <c r="J140">
        <v>0.61899999999999999</v>
      </c>
      <c r="K140">
        <v>10831.946</v>
      </c>
      <c r="L140">
        <v>114</v>
      </c>
      <c r="M140">
        <v>1.3160000000000001</v>
      </c>
      <c r="N140">
        <v>0.76</v>
      </c>
      <c r="O140">
        <v>0.97499999999999998</v>
      </c>
      <c r="P140" s="2">
        <f t="shared" si="5"/>
        <v>1.2238340959984422</v>
      </c>
      <c r="Q140" t="str">
        <f t="shared" si="4"/>
        <v>esferica</v>
      </c>
    </row>
    <row r="141" spans="1:17" x14ac:dyDescent="0.35">
      <c r="A141" t="s">
        <v>13</v>
      </c>
      <c r="B141">
        <v>84.581999999999994</v>
      </c>
      <c r="C141">
        <v>120.333</v>
      </c>
      <c r="D141">
        <v>141</v>
      </c>
      <c r="E141">
        <v>62</v>
      </c>
      <c r="F141">
        <v>152</v>
      </c>
      <c r="G141">
        <v>45.347000000000001</v>
      </c>
      <c r="H141">
        <v>8.5589999999999993</v>
      </c>
      <c r="I141">
        <v>13.304</v>
      </c>
      <c r="J141">
        <v>0.51700000000000002</v>
      </c>
      <c r="K141">
        <v>10177.922</v>
      </c>
      <c r="L141">
        <v>126</v>
      </c>
      <c r="M141">
        <v>1.6970000000000001</v>
      </c>
      <c r="N141">
        <v>0.58899999999999997</v>
      </c>
      <c r="O141">
        <v>0.97</v>
      </c>
      <c r="P141" s="2">
        <f t="shared" si="5"/>
        <v>1.5543871947657437</v>
      </c>
      <c r="Q141" t="str">
        <f t="shared" si="4"/>
        <v>eliptica</v>
      </c>
    </row>
    <row r="142" spans="1:17" x14ac:dyDescent="0.35">
      <c r="A142" t="s">
        <v>13</v>
      </c>
      <c r="B142">
        <v>99.77</v>
      </c>
      <c r="C142">
        <v>119.986</v>
      </c>
      <c r="D142">
        <v>134</v>
      </c>
      <c r="E142">
        <v>63</v>
      </c>
      <c r="F142">
        <v>161</v>
      </c>
      <c r="G142">
        <v>46.165999999999997</v>
      </c>
      <c r="H142">
        <v>8.7550000000000008</v>
      </c>
      <c r="I142">
        <v>15.016</v>
      </c>
      <c r="J142">
        <v>0.58799999999999997</v>
      </c>
      <c r="K142">
        <v>11971.002</v>
      </c>
      <c r="L142">
        <v>126</v>
      </c>
      <c r="M142">
        <v>1.71</v>
      </c>
      <c r="N142">
        <v>0.58499999999999996</v>
      </c>
      <c r="O142">
        <v>0.97199999999999998</v>
      </c>
      <c r="P142" s="2">
        <f t="shared" si="5"/>
        <v>1.715134209023415</v>
      </c>
      <c r="Q142" t="str">
        <f t="shared" si="4"/>
        <v>eliptica</v>
      </c>
    </row>
    <row r="143" spans="1:17" x14ac:dyDescent="0.35">
      <c r="A143" t="s">
        <v>13</v>
      </c>
      <c r="B143">
        <v>109.241</v>
      </c>
      <c r="C143">
        <v>133.815</v>
      </c>
      <c r="D143">
        <v>152</v>
      </c>
      <c r="E143">
        <v>63</v>
      </c>
      <c r="F143">
        <v>166</v>
      </c>
      <c r="G143">
        <v>45.793999999999997</v>
      </c>
      <c r="H143">
        <v>9.2929999999999993</v>
      </c>
      <c r="I143">
        <v>15.016</v>
      </c>
      <c r="J143">
        <v>0.65500000000000003</v>
      </c>
      <c r="K143">
        <v>14618.128000000001</v>
      </c>
      <c r="L143">
        <v>142</v>
      </c>
      <c r="M143">
        <v>1.6519999999999999</v>
      </c>
      <c r="N143">
        <v>0.60499999999999998</v>
      </c>
      <c r="O143">
        <v>0.98199999999999998</v>
      </c>
      <c r="P143" s="2">
        <f t="shared" si="5"/>
        <v>1.615839879479178</v>
      </c>
      <c r="Q143" t="str">
        <f t="shared" si="4"/>
        <v>eliptica</v>
      </c>
    </row>
    <row r="144" spans="1:17" x14ac:dyDescent="0.35">
      <c r="A144" t="s">
        <v>13</v>
      </c>
      <c r="B144">
        <v>147.99600000000001</v>
      </c>
      <c r="C144">
        <v>121.83799999999999</v>
      </c>
      <c r="D144">
        <v>141</v>
      </c>
      <c r="E144">
        <v>63</v>
      </c>
      <c r="F144">
        <v>160</v>
      </c>
      <c r="G144">
        <v>52.587000000000003</v>
      </c>
      <c r="H144">
        <v>12.032</v>
      </c>
      <c r="I144">
        <v>16.63</v>
      </c>
      <c r="J144">
        <v>0.67300000000000004</v>
      </c>
      <c r="K144">
        <v>18031.508000000002</v>
      </c>
      <c r="L144">
        <v>126</v>
      </c>
      <c r="M144">
        <v>1.585</v>
      </c>
      <c r="N144">
        <v>0.63100000000000001</v>
      </c>
      <c r="O144">
        <v>0.97899999999999998</v>
      </c>
      <c r="P144" s="2">
        <f t="shared" si="5"/>
        <v>1.3821476063829787</v>
      </c>
      <c r="Q144" t="str">
        <f t="shared" si="4"/>
        <v>esferica</v>
      </c>
    </row>
    <row r="145" spans="1:17" x14ac:dyDescent="0.35">
      <c r="A145" t="s">
        <v>13</v>
      </c>
      <c r="B145">
        <v>96.855999999999995</v>
      </c>
      <c r="C145">
        <v>103.511</v>
      </c>
      <c r="D145">
        <v>115</v>
      </c>
      <c r="E145">
        <v>63</v>
      </c>
      <c r="F145">
        <v>130</v>
      </c>
      <c r="G145">
        <v>42.661999999999999</v>
      </c>
      <c r="H145">
        <v>9.0969999999999995</v>
      </c>
      <c r="I145">
        <v>14.037000000000001</v>
      </c>
      <c r="J145">
        <v>0.66900000000000004</v>
      </c>
      <c r="K145">
        <v>10025.681</v>
      </c>
      <c r="L145">
        <v>106</v>
      </c>
      <c r="M145">
        <v>1.5309999999999999</v>
      </c>
      <c r="N145">
        <v>0.65300000000000002</v>
      </c>
      <c r="O145">
        <v>0.98299999999999998</v>
      </c>
      <c r="P145" s="2">
        <f t="shared" si="5"/>
        <v>1.5430361657689349</v>
      </c>
      <c r="Q145" t="str">
        <f t="shared" si="4"/>
        <v>eliptica</v>
      </c>
    </row>
    <row r="146" spans="1:17" x14ac:dyDescent="0.35">
      <c r="A146" t="s">
        <v>13</v>
      </c>
      <c r="B146">
        <v>118.861</v>
      </c>
      <c r="C146">
        <v>110.877</v>
      </c>
      <c r="D146">
        <v>121</v>
      </c>
      <c r="E146">
        <v>62</v>
      </c>
      <c r="F146">
        <v>138</v>
      </c>
      <c r="G146">
        <v>51.543999999999997</v>
      </c>
      <c r="H146">
        <v>11.054</v>
      </c>
      <c r="I146">
        <v>14.478</v>
      </c>
      <c r="J146">
        <v>0.56200000000000006</v>
      </c>
      <c r="K146">
        <v>13178.91</v>
      </c>
      <c r="L146">
        <v>116</v>
      </c>
      <c r="M146">
        <v>1.2969999999999999</v>
      </c>
      <c r="N146">
        <v>0.77100000000000002</v>
      </c>
      <c r="O146">
        <v>0.97</v>
      </c>
      <c r="P146" s="2">
        <f t="shared" si="5"/>
        <v>1.3097521259272662</v>
      </c>
      <c r="Q146" t="str">
        <f t="shared" si="4"/>
        <v>esferica</v>
      </c>
    </row>
    <row r="147" spans="1:17" x14ac:dyDescent="0.35">
      <c r="A147" t="s">
        <v>13</v>
      </c>
      <c r="B147">
        <v>125.779</v>
      </c>
      <c r="C147">
        <v>120.74</v>
      </c>
      <c r="D147">
        <v>143</v>
      </c>
      <c r="E147">
        <v>62</v>
      </c>
      <c r="F147">
        <v>174</v>
      </c>
      <c r="G147">
        <v>53.692</v>
      </c>
      <c r="H147">
        <v>9</v>
      </c>
      <c r="I147">
        <v>18.195</v>
      </c>
      <c r="J147">
        <v>0.54800000000000004</v>
      </c>
      <c r="K147">
        <v>15186.547</v>
      </c>
      <c r="L147">
        <v>127</v>
      </c>
      <c r="M147">
        <v>2.2330000000000001</v>
      </c>
      <c r="N147">
        <v>0.44800000000000001</v>
      </c>
      <c r="O147">
        <v>0.98099999999999998</v>
      </c>
      <c r="P147" s="2">
        <f t="shared" si="5"/>
        <v>2.0216666666666665</v>
      </c>
      <c r="Q147" t="str">
        <f t="shared" si="4"/>
        <v>alongada</v>
      </c>
    </row>
    <row r="148" spans="1:17" x14ac:dyDescent="0.35">
      <c r="A148" t="s">
        <v>13</v>
      </c>
      <c r="B148">
        <v>93.656000000000006</v>
      </c>
      <c r="C148">
        <v>118.77800000000001</v>
      </c>
      <c r="D148">
        <v>143</v>
      </c>
      <c r="E148">
        <v>61</v>
      </c>
      <c r="F148">
        <v>154</v>
      </c>
      <c r="G148">
        <v>50.029000000000003</v>
      </c>
      <c r="H148">
        <v>7.7770000000000001</v>
      </c>
      <c r="I148">
        <v>15.505000000000001</v>
      </c>
      <c r="J148">
        <v>0.47</v>
      </c>
      <c r="K148">
        <v>11124.217000000001</v>
      </c>
      <c r="L148">
        <v>124</v>
      </c>
      <c r="M148">
        <v>1.966</v>
      </c>
      <c r="N148">
        <v>0.50900000000000001</v>
      </c>
      <c r="O148">
        <v>0.96799999999999997</v>
      </c>
      <c r="P148" s="2">
        <f t="shared" si="5"/>
        <v>1.9936993699369938</v>
      </c>
      <c r="Q148" t="str">
        <f t="shared" si="4"/>
        <v>eliptica</v>
      </c>
    </row>
    <row r="149" spans="1:17" x14ac:dyDescent="0.35">
      <c r="A149" t="s">
        <v>13</v>
      </c>
      <c r="B149">
        <v>117.67400000000001</v>
      </c>
      <c r="C149">
        <v>124.428</v>
      </c>
      <c r="D149">
        <v>132</v>
      </c>
      <c r="E149">
        <v>63</v>
      </c>
      <c r="F149">
        <v>163</v>
      </c>
      <c r="G149">
        <v>46.374000000000002</v>
      </c>
      <c r="H149">
        <v>10.516</v>
      </c>
      <c r="I149">
        <v>14.526999999999999</v>
      </c>
      <c r="J149">
        <v>0.68799999999999994</v>
      </c>
      <c r="K149">
        <v>14641.982</v>
      </c>
      <c r="L149">
        <v>129</v>
      </c>
      <c r="M149">
        <v>1.4470000000000001</v>
      </c>
      <c r="N149">
        <v>0.69099999999999995</v>
      </c>
      <c r="O149">
        <v>0.98099999999999998</v>
      </c>
      <c r="P149" s="2">
        <f t="shared" si="5"/>
        <v>1.3814187904146062</v>
      </c>
      <c r="Q149" t="str">
        <f t="shared" si="4"/>
        <v>esferica</v>
      </c>
    </row>
    <row r="150" spans="1:17" x14ac:dyDescent="0.35">
      <c r="A150" t="s">
        <v>13</v>
      </c>
      <c r="B150">
        <v>115.61</v>
      </c>
      <c r="C150">
        <v>126.586</v>
      </c>
      <c r="D150">
        <v>151</v>
      </c>
      <c r="E150">
        <v>63</v>
      </c>
      <c r="F150">
        <v>164</v>
      </c>
      <c r="G150">
        <v>48.033000000000001</v>
      </c>
      <c r="H150">
        <v>11.151999999999999</v>
      </c>
      <c r="I150">
        <v>13.94</v>
      </c>
      <c r="J150">
        <v>0.63</v>
      </c>
      <c r="K150">
        <v>14634.534</v>
      </c>
      <c r="L150">
        <v>134</v>
      </c>
      <c r="M150">
        <v>1.407</v>
      </c>
      <c r="N150">
        <v>0.71099999999999997</v>
      </c>
      <c r="O150">
        <v>0.97499999999999998</v>
      </c>
      <c r="P150" s="2">
        <f t="shared" si="5"/>
        <v>1.25</v>
      </c>
      <c r="Q150" t="str">
        <f t="shared" si="4"/>
        <v>esferica</v>
      </c>
    </row>
    <row r="151" spans="1:17" x14ac:dyDescent="0.35">
      <c r="A151" t="s">
        <v>13</v>
      </c>
      <c r="B151">
        <v>96.710999999999999</v>
      </c>
      <c r="C151">
        <v>119.294</v>
      </c>
      <c r="D151">
        <v>143</v>
      </c>
      <c r="E151">
        <v>60</v>
      </c>
      <c r="F151">
        <v>156</v>
      </c>
      <c r="G151">
        <v>41.854999999999997</v>
      </c>
      <c r="H151">
        <v>10.026999999999999</v>
      </c>
      <c r="I151">
        <v>12.57</v>
      </c>
      <c r="J151">
        <v>0.69399999999999995</v>
      </c>
      <c r="K151">
        <v>11536.993</v>
      </c>
      <c r="L151">
        <v>125</v>
      </c>
      <c r="M151">
        <v>1.278</v>
      </c>
      <c r="N151">
        <v>0.78300000000000003</v>
      </c>
      <c r="O151">
        <v>0.97899999999999998</v>
      </c>
      <c r="P151" s="2">
        <f t="shared" si="5"/>
        <v>1.2536152388550914</v>
      </c>
      <c r="Q151" t="str">
        <f t="shared" si="4"/>
        <v>esferica</v>
      </c>
    </row>
    <row r="152" spans="1:17" x14ac:dyDescent="0.35">
      <c r="A152" t="s">
        <v>13</v>
      </c>
      <c r="B152">
        <v>106.617</v>
      </c>
      <c r="C152">
        <v>120.33499999999999</v>
      </c>
      <c r="D152">
        <v>137</v>
      </c>
      <c r="E152">
        <v>60</v>
      </c>
      <c r="F152">
        <v>153</v>
      </c>
      <c r="G152">
        <v>51.406999999999996</v>
      </c>
      <c r="H152">
        <v>9.2439999999999998</v>
      </c>
      <c r="I152">
        <v>14.526999999999999</v>
      </c>
      <c r="J152">
        <v>0.50700000000000001</v>
      </c>
      <c r="K152">
        <v>12829.806</v>
      </c>
      <c r="L152">
        <v>129</v>
      </c>
      <c r="M152">
        <v>1.593</v>
      </c>
      <c r="N152">
        <v>0.628</v>
      </c>
      <c r="O152">
        <v>0.97099999999999997</v>
      </c>
      <c r="P152" s="2">
        <f t="shared" si="5"/>
        <v>1.5715058416270014</v>
      </c>
      <c r="Q152" t="str">
        <f t="shared" si="4"/>
        <v>eliptica</v>
      </c>
    </row>
    <row r="153" spans="1:17" x14ac:dyDescent="0.35">
      <c r="A153" t="s">
        <v>13</v>
      </c>
      <c r="B153">
        <v>87.034000000000006</v>
      </c>
      <c r="C153">
        <v>121.453</v>
      </c>
      <c r="D153">
        <v>137</v>
      </c>
      <c r="E153">
        <v>66</v>
      </c>
      <c r="F153">
        <v>154</v>
      </c>
      <c r="G153">
        <v>40.363999999999997</v>
      </c>
      <c r="H153">
        <v>9.44</v>
      </c>
      <c r="I153">
        <v>13.304</v>
      </c>
      <c r="J153">
        <v>0.67100000000000004</v>
      </c>
      <c r="K153">
        <v>10570.472</v>
      </c>
      <c r="L153">
        <v>128</v>
      </c>
      <c r="M153">
        <v>1.6539999999999999</v>
      </c>
      <c r="N153">
        <v>0.60499999999999998</v>
      </c>
      <c r="O153">
        <v>0.97799999999999998</v>
      </c>
      <c r="P153" s="2">
        <f t="shared" si="5"/>
        <v>1.4093220338983052</v>
      </c>
      <c r="Q153" t="str">
        <f t="shared" si="4"/>
        <v>esferica</v>
      </c>
    </row>
    <row r="154" spans="1:17" x14ac:dyDescent="0.35">
      <c r="A154" t="s">
        <v>13</v>
      </c>
      <c r="B154">
        <v>93.951999999999998</v>
      </c>
      <c r="C154">
        <v>124.44</v>
      </c>
      <c r="D154">
        <v>145</v>
      </c>
      <c r="E154">
        <v>65</v>
      </c>
      <c r="F154">
        <v>159</v>
      </c>
      <c r="G154">
        <v>41.332999999999998</v>
      </c>
      <c r="H154">
        <v>9.9290000000000003</v>
      </c>
      <c r="I154">
        <v>12.717000000000001</v>
      </c>
      <c r="J154">
        <v>0.69099999999999995</v>
      </c>
      <c r="K154">
        <v>11691.459000000001</v>
      </c>
      <c r="L154">
        <v>131</v>
      </c>
      <c r="M154">
        <v>1.532</v>
      </c>
      <c r="N154">
        <v>0.65300000000000002</v>
      </c>
      <c r="O154">
        <v>0.98</v>
      </c>
      <c r="P154" s="2">
        <f t="shared" si="5"/>
        <v>1.2807936348071307</v>
      </c>
      <c r="Q154" t="str">
        <f t="shared" si="4"/>
        <v>esferica</v>
      </c>
    </row>
    <row r="155" spans="1:17" x14ac:dyDescent="0.35">
      <c r="A155" t="s">
        <v>13</v>
      </c>
      <c r="B155">
        <v>74.06</v>
      </c>
      <c r="C155">
        <v>112.166</v>
      </c>
      <c r="D155">
        <v>128</v>
      </c>
      <c r="E155">
        <v>64</v>
      </c>
      <c r="F155">
        <v>175</v>
      </c>
      <c r="G155">
        <v>39.737000000000002</v>
      </c>
      <c r="H155">
        <v>7.4829999999999997</v>
      </c>
      <c r="I155">
        <v>12.815</v>
      </c>
      <c r="J155">
        <v>0.58899999999999997</v>
      </c>
      <c r="K155">
        <v>8307.0349999999999</v>
      </c>
      <c r="L155">
        <v>116</v>
      </c>
      <c r="M155">
        <v>1.7450000000000001</v>
      </c>
      <c r="N155">
        <v>0.57299999999999995</v>
      </c>
      <c r="O155">
        <v>0.97399999999999998</v>
      </c>
      <c r="P155" s="2">
        <f t="shared" si="5"/>
        <v>1.7125484431377789</v>
      </c>
      <c r="Q155" t="str">
        <f t="shared" si="4"/>
        <v>eliptica</v>
      </c>
    </row>
    <row r="156" spans="1:17" x14ac:dyDescent="0.35">
      <c r="A156" t="s">
        <v>13</v>
      </c>
      <c r="B156">
        <v>85.897000000000006</v>
      </c>
      <c r="C156">
        <v>126.273</v>
      </c>
      <c r="D156">
        <v>153</v>
      </c>
      <c r="E156">
        <v>65</v>
      </c>
      <c r="F156">
        <v>163</v>
      </c>
      <c r="G156">
        <v>41.658000000000001</v>
      </c>
      <c r="H156">
        <v>8.0210000000000008</v>
      </c>
      <c r="I156">
        <v>14.135</v>
      </c>
      <c r="J156">
        <v>0.622</v>
      </c>
      <c r="K156">
        <v>10846.518</v>
      </c>
      <c r="L156">
        <v>132</v>
      </c>
      <c r="M156">
        <v>1.9510000000000001</v>
      </c>
      <c r="N156">
        <v>0.51200000000000001</v>
      </c>
      <c r="O156">
        <v>0.97599999999999998</v>
      </c>
      <c r="P156" s="2">
        <f t="shared" si="5"/>
        <v>1.7622490961226778</v>
      </c>
      <c r="Q156" t="str">
        <f t="shared" si="4"/>
        <v>eliptica</v>
      </c>
    </row>
    <row r="157" spans="1:17" x14ac:dyDescent="0.35">
      <c r="A157" t="s">
        <v>13</v>
      </c>
      <c r="B157">
        <v>132.40799999999999</v>
      </c>
      <c r="C157">
        <v>122.048</v>
      </c>
      <c r="D157">
        <v>137</v>
      </c>
      <c r="E157">
        <v>62</v>
      </c>
      <c r="F157">
        <v>154</v>
      </c>
      <c r="G157">
        <v>55.74</v>
      </c>
      <c r="H157">
        <v>11.005000000000001</v>
      </c>
      <c r="I157">
        <v>15.945</v>
      </c>
      <c r="J157">
        <v>0.53600000000000003</v>
      </c>
      <c r="K157">
        <v>16160.198</v>
      </c>
      <c r="L157">
        <v>129</v>
      </c>
      <c r="M157">
        <v>1.482</v>
      </c>
      <c r="N157">
        <v>0.67500000000000004</v>
      </c>
      <c r="O157">
        <v>0.97399999999999998</v>
      </c>
      <c r="P157" s="2">
        <f t="shared" si="5"/>
        <v>1.448886869604725</v>
      </c>
      <c r="Q157" t="str">
        <f t="shared" si="4"/>
        <v>esferica</v>
      </c>
    </row>
    <row r="158" spans="1:17" x14ac:dyDescent="0.35">
      <c r="A158" t="s">
        <v>13</v>
      </c>
      <c r="B158">
        <v>131.26499999999999</v>
      </c>
      <c r="C158">
        <v>127.77</v>
      </c>
      <c r="D158">
        <v>152</v>
      </c>
      <c r="E158">
        <v>63</v>
      </c>
      <c r="F158">
        <v>255</v>
      </c>
      <c r="G158">
        <v>60.207000000000001</v>
      </c>
      <c r="H158">
        <v>11.788</v>
      </c>
      <c r="I158">
        <v>15.113</v>
      </c>
      <c r="J158">
        <v>0.45500000000000002</v>
      </c>
      <c r="K158">
        <v>16771.685000000001</v>
      </c>
      <c r="L158">
        <v>134</v>
      </c>
      <c r="M158">
        <v>1.3009999999999999</v>
      </c>
      <c r="N158">
        <v>0.76900000000000002</v>
      </c>
      <c r="O158">
        <v>0.96899999999999997</v>
      </c>
      <c r="P158" s="2">
        <f t="shared" si="5"/>
        <v>1.2820665083135392</v>
      </c>
      <c r="Q158" t="str">
        <f t="shared" si="4"/>
        <v>esferica</v>
      </c>
    </row>
    <row r="159" spans="1:17" x14ac:dyDescent="0.35">
      <c r="A159" t="s">
        <v>13</v>
      </c>
      <c r="B159">
        <v>140.36500000000001</v>
      </c>
      <c r="C159">
        <v>127.752</v>
      </c>
      <c r="D159">
        <v>153</v>
      </c>
      <c r="E159">
        <v>63</v>
      </c>
      <c r="F159">
        <v>171</v>
      </c>
      <c r="G159">
        <v>53.58</v>
      </c>
      <c r="H159">
        <v>12.374000000000001</v>
      </c>
      <c r="I159">
        <v>16.532</v>
      </c>
      <c r="J159">
        <v>0.61399999999999999</v>
      </c>
      <c r="K159">
        <v>17931.919999999998</v>
      </c>
      <c r="L159">
        <v>134</v>
      </c>
      <c r="M159">
        <v>1.629</v>
      </c>
      <c r="N159">
        <v>0.61399999999999999</v>
      </c>
      <c r="O159">
        <v>0.97599999999999998</v>
      </c>
      <c r="P159" s="2">
        <f t="shared" si="5"/>
        <v>1.3360271537093906</v>
      </c>
      <c r="Q159" t="str">
        <f t="shared" si="4"/>
        <v>esferica</v>
      </c>
    </row>
    <row r="160" spans="1:17" x14ac:dyDescent="0.35">
      <c r="A160" t="s">
        <v>13</v>
      </c>
      <c r="B160">
        <v>95.971000000000004</v>
      </c>
      <c r="C160">
        <v>126.241</v>
      </c>
      <c r="D160">
        <v>149</v>
      </c>
      <c r="E160">
        <v>64</v>
      </c>
      <c r="F160">
        <v>159</v>
      </c>
      <c r="G160">
        <v>41.951999999999998</v>
      </c>
      <c r="H160">
        <v>11.25</v>
      </c>
      <c r="I160">
        <v>13.157</v>
      </c>
      <c r="J160">
        <v>0.68500000000000005</v>
      </c>
      <c r="K160">
        <v>12115.478999999999</v>
      </c>
      <c r="L160">
        <v>131</v>
      </c>
      <c r="M160">
        <v>1.589</v>
      </c>
      <c r="N160">
        <v>0.629</v>
      </c>
      <c r="O160">
        <v>0.97099999999999997</v>
      </c>
      <c r="P160" s="2">
        <f t="shared" si="5"/>
        <v>1.1695111111111112</v>
      </c>
      <c r="Q160" t="str">
        <f t="shared" si="4"/>
        <v>esferica</v>
      </c>
    </row>
    <row r="161" spans="1:17" x14ac:dyDescent="0.35">
      <c r="A161" t="s">
        <v>13</v>
      </c>
      <c r="B161">
        <v>127.48699999999999</v>
      </c>
      <c r="C161">
        <v>107.88</v>
      </c>
      <c r="D161">
        <v>120</v>
      </c>
      <c r="E161">
        <v>64</v>
      </c>
      <c r="F161">
        <v>134</v>
      </c>
      <c r="G161">
        <v>51.067999999999998</v>
      </c>
      <c r="H161">
        <v>10.32</v>
      </c>
      <c r="I161">
        <v>15.994</v>
      </c>
      <c r="J161">
        <v>0.61399999999999999</v>
      </c>
      <c r="K161">
        <v>13753.267</v>
      </c>
      <c r="L161">
        <v>111</v>
      </c>
      <c r="M161">
        <v>1.5580000000000001</v>
      </c>
      <c r="N161">
        <v>0.64200000000000002</v>
      </c>
      <c r="O161">
        <v>0.98199999999999998</v>
      </c>
      <c r="P161" s="2">
        <f t="shared" si="5"/>
        <v>1.5498062015503875</v>
      </c>
      <c r="Q161" t="str">
        <f t="shared" si="4"/>
        <v>eliptica</v>
      </c>
    </row>
    <row r="162" spans="1:17" x14ac:dyDescent="0.35">
      <c r="A162" t="s">
        <v>13</v>
      </c>
      <c r="B162">
        <v>98.513999999999996</v>
      </c>
      <c r="C162">
        <v>126.818</v>
      </c>
      <c r="D162">
        <v>143</v>
      </c>
      <c r="E162">
        <v>65</v>
      </c>
      <c r="F162">
        <v>159</v>
      </c>
      <c r="G162">
        <v>43.356000000000002</v>
      </c>
      <c r="H162">
        <v>9.3420000000000005</v>
      </c>
      <c r="I162">
        <v>14.037000000000001</v>
      </c>
      <c r="J162">
        <v>0.65900000000000003</v>
      </c>
      <c r="K162">
        <v>12493.422</v>
      </c>
      <c r="L162">
        <v>134</v>
      </c>
      <c r="M162">
        <v>1.629</v>
      </c>
      <c r="N162">
        <v>0.61399999999999999</v>
      </c>
      <c r="O162">
        <v>0.98</v>
      </c>
      <c r="P162" s="2">
        <f t="shared" si="5"/>
        <v>1.5025690430314709</v>
      </c>
      <c r="Q162" t="str">
        <f t="shared" si="4"/>
        <v>eliptica</v>
      </c>
    </row>
    <row r="163" spans="1:17" x14ac:dyDescent="0.35">
      <c r="A163" t="s">
        <v>13</v>
      </c>
      <c r="B163">
        <v>103.69799999999999</v>
      </c>
      <c r="C163">
        <v>131.79599999999999</v>
      </c>
      <c r="D163">
        <v>149</v>
      </c>
      <c r="E163">
        <v>65</v>
      </c>
      <c r="F163">
        <v>188</v>
      </c>
      <c r="G163">
        <v>42.423999999999999</v>
      </c>
      <c r="H163">
        <v>9.44</v>
      </c>
      <c r="I163">
        <v>13.695</v>
      </c>
      <c r="J163">
        <v>0.72399999999999998</v>
      </c>
      <c r="K163">
        <v>13667.075000000001</v>
      </c>
      <c r="L163">
        <v>138</v>
      </c>
      <c r="M163">
        <v>1.5089999999999999</v>
      </c>
      <c r="N163">
        <v>0.66300000000000003</v>
      </c>
      <c r="O163">
        <v>0.98099999999999998</v>
      </c>
      <c r="P163" s="2">
        <f t="shared" si="5"/>
        <v>1.450741525423729</v>
      </c>
      <c r="Q163" t="str">
        <f t="shared" si="4"/>
        <v>esferica</v>
      </c>
    </row>
    <row r="164" spans="1:17" x14ac:dyDescent="0.35">
      <c r="A164" t="s">
        <v>13</v>
      </c>
      <c r="B164">
        <v>91.346999999999994</v>
      </c>
      <c r="C164">
        <v>119.911</v>
      </c>
      <c r="D164">
        <v>137</v>
      </c>
      <c r="E164">
        <v>63</v>
      </c>
      <c r="F164">
        <v>155</v>
      </c>
      <c r="G164">
        <v>40.957999999999998</v>
      </c>
      <c r="H164">
        <v>9.1460000000000008</v>
      </c>
      <c r="I164">
        <v>13.058999999999999</v>
      </c>
      <c r="J164">
        <v>0.68400000000000005</v>
      </c>
      <c r="K164">
        <v>10953.550999999999</v>
      </c>
      <c r="L164">
        <v>123</v>
      </c>
      <c r="M164">
        <v>1.4430000000000001</v>
      </c>
      <c r="N164">
        <v>0.69299999999999995</v>
      </c>
      <c r="O164">
        <v>0.98099999999999998</v>
      </c>
      <c r="P164" s="2">
        <f t="shared" si="5"/>
        <v>1.4278373059260876</v>
      </c>
      <c r="Q164" t="str">
        <f t="shared" si="4"/>
        <v>esferica</v>
      </c>
    </row>
    <row r="165" spans="1:17" x14ac:dyDescent="0.35">
      <c r="A165" t="s">
        <v>13</v>
      </c>
      <c r="B165">
        <v>116.27</v>
      </c>
      <c r="C165">
        <v>109.4</v>
      </c>
      <c r="D165">
        <v>124</v>
      </c>
      <c r="E165">
        <v>65</v>
      </c>
      <c r="F165">
        <v>138</v>
      </c>
      <c r="G165">
        <v>47.713999999999999</v>
      </c>
      <c r="H165">
        <v>9.8309999999999995</v>
      </c>
      <c r="I165">
        <v>15.065</v>
      </c>
      <c r="J165">
        <v>0.64200000000000002</v>
      </c>
      <c r="K165">
        <v>12719.976000000001</v>
      </c>
      <c r="L165">
        <v>112</v>
      </c>
      <c r="M165">
        <v>1.54</v>
      </c>
      <c r="N165">
        <v>0.65</v>
      </c>
      <c r="O165">
        <v>0.97899999999999998</v>
      </c>
      <c r="P165" s="2">
        <f t="shared" si="5"/>
        <v>1.5323975180551317</v>
      </c>
      <c r="Q165" t="str">
        <f t="shared" si="4"/>
        <v>eliptica</v>
      </c>
    </row>
    <row r="166" spans="1:17" x14ac:dyDescent="0.35">
      <c r="A166" t="s">
        <v>13</v>
      </c>
      <c r="B166">
        <v>91.093000000000004</v>
      </c>
      <c r="C166">
        <v>121.396</v>
      </c>
      <c r="D166">
        <v>143</v>
      </c>
      <c r="E166">
        <v>62</v>
      </c>
      <c r="F166">
        <v>158</v>
      </c>
      <c r="G166">
        <v>44.594000000000001</v>
      </c>
      <c r="H166">
        <v>8.266</v>
      </c>
      <c r="I166">
        <v>13.989000000000001</v>
      </c>
      <c r="J166">
        <v>0.57599999999999996</v>
      </c>
      <c r="K166">
        <v>11058.395</v>
      </c>
      <c r="L166">
        <v>128</v>
      </c>
      <c r="M166">
        <v>1.6919999999999999</v>
      </c>
      <c r="N166">
        <v>0.59099999999999997</v>
      </c>
      <c r="O166">
        <v>0.97299999999999998</v>
      </c>
      <c r="P166" s="2">
        <f t="shared" si="5"/>
        <v>1.6923542221146868</v>
      </c>
      <c r="Q166" t="str">
        <f t="shared" si="4"/>
        <v>eliptica</v>
      </c>
    </row>
    <row r="167" spans="1:17" x14ac:dyDescent="0.35">
      <c r="A167" t="s">
        <v>13</v>
      </c>
      <c r="B167">
        <v>128.471</v>
      </c>
      <c r="C167">
        <v>134.12200000000001</v>
      </c>
      <c r="D167">
        <v>151</v>
      </c>
      <c r="E167">
        <v>51</v>
      </c>
      <c r="F167">
        <v>166</v>
      </c>
      <c r="G167">
        <v>50.008000000000003</v>
      </c>
      <c r="H167">
        <v>9</v>
      </c>
      <c r="I167">
        <v>17.559000000000001</v>
      </c>
      <c r="J167">
        <v>0.64600000000000002</v>
      </c>
      <c r="K167">
        <v>17230.741000000002</v>
      </c>
      <c r="L167">
        <v>142</v>
      </c>
      <c r="M167">
        <v>1.966</v>
      </c>
      <c r="N167">
        <v>0.50900000000000001</v>
      </c>
      <c r="O167">
        <v>0.98599999999999999</v>
      </c>
      <c r="P167" s="2">
        <f t="shared" si="5"/>
        <v>1.9510000000000001</v>
      </c>
      <c r="Q167" t="str">
        <f t="shared" si="4"/>
        <v>eliptica</v>
      </c>
    </row>
    <row r="168" spans="1:17" x14ac:dyDescent="0.35">
      <c r="A168" t="s">
        <v>13</v>
      </c>
      <c r="B168">
        <v>88.385000000000005</v>
      </c>
      <c r="C168">
        <v>97.855000000000004</v>
      </c>
      <c r="D168">
        <v>90</v>
      </c>
      <c r="E168">
        <v>61</v>
      </c>
      <c r="F168">
        <v>136</v>
      </c>
      <c r="G168">
        <v>62.28</v>
      </c>
      <c r="H168">
        <v>8.3149999999999995</v>
      </c>
      <c r="I168">
        <v>15.065</v>
      </c>
      <c r="J168">
        <v>0.28599999999999998</v>
      </c>
      <c r="K168">
        <v>8648.9830000000002</v>
      </c>
      <c r="L168">
        <v>98</v>
      </c>
      <c r="M168">
        <v>2.12</v>
      </c>
      <c r="N168">
        <v>0.47199999999999998</v>
      </c>
      <c r="O168">
        <v>0.94399999999999995</v>
      </c>
      <c r="P168" s="2">
        <f t="shared" si="5"/>
        <v>1.8117859290438967</v>
      </c>
      <c r="Q168" t="str">
        <f t="shared" si="4"/>
        <v>eliptica</v>
      </c>
    </row>
    <row r="169" spans="1:17" x14ac:dyDescent="0.35">
      <c r="A169" t="s">
        <v>13</v>
      </c>
      <c r="B169">
        <v>109.705</v>
      </c>
      <c r="C169">
        <v>132.24</v>
      </c>
      <c r="D169">
        <v>156</v>
      </c>
      <c r="E169">
        <v>64</v>
      </c>
      <c r="F169">
        <v>166</v>
      </c>
      <c r="G169">
        <v>44.64</v>
      </c>
      <c r="H169">
        <v>9.6349999999999998</v>
      </c>
      <c r="I169">
        <v>14.183999999999999</v>
      </c>
      <c r="J169">
        <v>0.69199999999999995</v>
      </c>
      <c r="K169">
        <v>14507.434999999999</v>
      </c>
      <c r="L169">
        <v>141</v>
      </c>
      <c r="M169">
        <v>1.4790000000000001</v>
      </c>
      <c r="N169">
        <v>0.67600000000000005</v>
      </c>
      <c r="O169">
        <v>0.98299999999999998</v>
      </c>
      <c r="P169" s="2">
        <f t="shared" si="5"/>
        <v>1.4721328489880643</v>
      </c>
      <c r="Q169" t="str">
        <f t="shared" si="4"/>
        <v>esferica</v>
      </c>
    </row>
    <row r="170" spans="1:17" x14ac:dyDescent="0.35">
      <c r="A170" t="s">
        <v>13</v>
      </c>
      <c r="B170">
        <v>110.313</v>
      </c>
      <c r="C170">
        <v>128.20099999999999</v>
      </c>
      <c r="D170">
        <v>143</v>
      </c>
      <c r="E170">
        <v>66</v>
      </c>
      <c r="F170">
        <v>162</v>
      </c>
      <c r="G170">
        <v>43.926000000000002</v>
      </c>
      <c r="H170">
        <v>9.8309999999999995</v>
      </c>
      <c r="I170">
        <v>14.722</v>
      </c>
      <c r="J170">
        <v>0.71799999999999997</v>
      </c>
      <c r="K170">
        <v>14142.214</v>
      </c>
      <c r="L170">
        <v>135</v>
      </c>
      <c r="M170">
        <v>1.575</v>
      </c>
      <c r="N170">
        <v>0.63500000000000001</v>
      </c>
      <c r="O170">
        <v>0.98299999999999998</v>
      </c>
      <c r="P170" s="2">
        <f t="shared" si="5"/>
        <v>1.4975078832265283</v>
      </c>
      <c r="Q170" t="str">
        <f t="shared" si="4"/>
        <v>esferica</v>
      </c>
    </row>
    <row r="171" spans="1:17" x14ac:dyDescent="0.35">
      <c r="A171" t="s">
        <v>13</v>
      </c>
      <c r="B171">
        <v>105.758</v>
      </c>
      <c r="C171">
        <v>118.15600000000001</v>
      </c>
      <c r="D171">
        <v>141</v>
      </c>
      <c r="E171">
        <v>64</v>
      </c>
      <c r="F171">
        <v>152</v>
      </c>
      <c r="G171">
        <v>47.469000000000001</v>
      </c>
      <c r="H171">
        <v>8.8040000000000003</v>
      </c>
      <c r="I171">
        <v>14.771000000000001</v>
      </c>
      <c r="J171">
        <v>0.59</v>
      </c>
      <c r="K171">
        <v>12495.982</v>
      </c>
      <c r="L171">
        <v>123</v>
      </c>
      <c r="M171">
        <v>1.6930000000000001</v>
      </c>
      <c r="N171">
        <v>0.59099999999999997</v>
      </c>
      <c r="O171">
        <v>0.98</v>
      </c>
      <c r="P171" s="2">
        <f t="shared" si="5"/>
        <v>1.677760109041345</v>
      </c>
      <c r="Q171" t="str">
        <f t="shared" si="4"/>
        <v>eliptica</v>
      </c>
    </row>
    <row r="172" spans="1:17" x14ac:dyDescent="0.35">
      <c r="A172" t="s">
        <v>13</v>
      </c>
      <c r="B172">
        <v>131.10900000000001</v>
      </c>
      <c r="C172">
        <v>129.28</v>
      </c>
      <c r="D172">
        <v>147</v>
      </c>
      <c r="E172">
        <v>64</v>
      </c>
      <c r="F172">
        <v>184</v>
      </c>
      <c r="G172">
        <v>52.593000000000004</v>
      </c>
      <c r="H172">
        <v>8.8529999999999998</v>
      </c>
      <c r="I172">
        <v>18.488</v>
      </c>
      <c r="J172">
        <v>0.59599999999999997</v>
      </c>
      <c r="K172">
        <v>16949.839</v>
      </c>
      <c r="L172">
        <v>136</v>
      </c>
      <c r="M172">
        <v>2.1589999999999998</v>
      </c>
      <c r="N172">
        <v>0.46300000000000002</v>
      </c>
      <c r="O172">
        <v>0.98199999999999998</v>
      </c>
      <c r="P172" s="2">
        <f t="shared" si="5"/>
        <v>2.088331638992432</v>
      </c>
      <c r="Q172" t="str">
        <f t="shared" si="4"/>
        <v>alongada</v>
      </c>
    </row>
    <row r="173" spans="1:17" x14ac:dyDescent="0.35">
      <c r="A173" t="s">
        <v>13</v>
      </c>
      <c r="B173">
        <v>136.44200000000001</v>
      </c>
      <c r="C173">
        <v>127.91500000000001</v>
      </c>
      <c r="D173">
        <v>149</v>
      </c>
      <c r="E173">
        <v>66</v>
      </c>
      <c r="F173">
        <v>169</v>
      </c>
      <c r="G173">
        <v>51.195999999999998</v>
      </c>
      <c r="H173">
        <v>10.516</v>
      </c>
      <c r="I173">
        <v>15.896000000000001</v>
      </c>
      <c r="J173">
        <v>0.65400000000000003</v>
      </c>
      <c r="K173">
        <v>17452.866999999998</v>
      </c>
      <c r="L173">
        <v>133</v>
      </c>
      <c r="M173">
        <v>1.492</v>
      </c>
      <c r="N173">
        <v>0.67</v>
      </c>
      <c r="O173">
        <v>0.97799999999999998</v>
      </c>
      <c r="P173" s="2">
        <f t="shared" si="5"/>
        <v>1.5116013693419552</v>
      </c>
      <c r="Q173" t="str">
        <f t="shared" si="4"/>
        <v>eliptica</v>
      </c>
    </row>
    <row r="174" spans="1:17" x14ac:dyDescent="0.35">
      <c r="A174" t="s">
        <v>13</v>
      </c>
      <c r="B174">
        <v>112.449</v>
      </c>
      <c r="C174">
        <v>119.661</v>
      </c>
      <c r="D174">
        <v>123</v>
      </c>
      <c r="E174">
        <v>65</v>
      </c>
      <c r="F174">
        <v>149</v>
      </c>
      <c r="G174">
        <v>45.122</v>
      </c>
      <c r="H174">
        <v>9.7330000000000005</v>
      </c>
      <c r="I174">
        <v>14.429</v>
      </c>
      <c r="J174">
        <v>0.69399999999999995</v>
      </c>
      <c r="K174">
        <v>13455.852999999999</v>
      </c>
      <c r="L174">
        <v>123</v>
      </c>
      <c r="M174">
        <v>1.532</v>
      </c>
      <c r="N174">
        <v>0.65300000000000002</v>
      </c>
      <c r="O174">
        <v>0.98299999999999998</v>
      </c>
      <c r="P174" s="2">
        <f t="shared" si="5"/>
        <v>1.482482276790301</v>
      </c>
      <c r="Q174" t="str">
        <f t="shared" si="4"/>
        <v>esferica</v>
      </c>
    </row>
    <row r="175" spans="1:17" x14ac:dyDescent="0.35">
      <c r="A175" t="s">
        <v>13</v>
      </c>
      <c r="B175">
        <v>76.522000000000006</v>
      </c>
      <c r="C175">
        <v>100.718</v>
      </c>
      <c r="D175">
        <v>107</v>
      </c>
      <c r="E175">
        <v>56</v>
      </c>
      <c r="F175">
        <v>126</v>
      </c>
      <c r="G175">
        <v>39.612000000000002</v>
      </c>
      <c r="H175">
        <v>9.1460000000000008</v>
      </c>
      <c r="I175">
        <v>11.445</v>
      </c>
      <c r="J175">
        <v>0.61299999999999999</v>
      </c>
      <c r="K175">
        <v>7707.1549999999997</v>
      </c>
      <c r="L175">
        <v>103</v>
      </c>
      <c r="M175">
        <v>1.2130000000000001</v>
      </c>
      <c r="N175">
        <v>0.82399999999999995</v>
      </c>
      <c r="O175">
        <v>0.97199999999999998</v>
      </c>
      <c r="P175" s="2">
        <f t="shared" si="5"/>
        <v>1.2513667176907937</v>
      </c>
      <c r="Q175" t="str">
        <f t="shared" si="4"/>
        <v>esferica</v>
      </c>
    </row>
    <row r="176" spans="1:17" x14ac:dyDescent="0.35">
      <c r="A176" t="s">
        <v>13</v>
      </c>
      <c r="B176">
        <v>75.287999999999997</v>
      </c>
      <c r="C176">
        <v>111.75700000000001</v>
      </c>
      <c r="D176">
        <v>134</v>
      </c>
      <c r="E176">
        <v>63</v>
      </c>
      <c r="F176">
        <v>146</v>
      </c>
      <c r="G176">
        <v>40.557000000000002</v>
      </c>
      <c r="H176">
        <v>8.0210000000000008</v>
      </c>
      <c r="I176">
        <v>12.228</v>
      </c>
      <c r="J176">
        <v>0.57499999999999996</v>
      </c>
      <c r="K176">
        <v>8413.8979999999992</v>
      </c>
      <c r="L176">
        <v>116</v>
      </c>
      <c r="M176">
        <v>1.621</v>
      </c>
      <c r="N176">
        <v>0.61699999999999999</v>
      </c>
      <c r="O176">
        <v>0.97499999999999998</v>
      </c>
      <c r="P176" s="2">
        <f t="shared" si="5"/>
        <v>1.5244981922453558</v>
      </c>
      <c r="Q176" t="str">
        <f t="shared" si="4"/>
        <v>eliptica</v>
      </c>
    </row>
    <row r="177" spans="1:17" x14ac:dyDescent="0.35">
      <c r="A177" t="s">
        <v>13</v>
      </c>
      <c r="B177">
        <v>156.91999999999999</v>
      </c>
      <c r="C177">
        <v>133.40799999999999</v>
      </c>
      <c r="D177">
        <v>157</v>
      </c>
      <c r="E177">
        <v>66</v>
      </c>
      <c r="F177">
        <v>167</v>
      </c>
      <c r="G177">
        <v>56.11</v>
      </c>
      <c r="H177">
        <v>9.8800000000000008</v>
      </c>
      <c r="I177">
        <v>19.613</v>
      </c>
      <c r="J177">
        <v>0.626</v>
      </c>
      <c r="K177">
        <v>20934.391</v>
      </c>
      <c r="L177">
        <v>142</v>
      </c>
      <c r="M177">
        <v>1.996</v>
      </c>
      <c r="N177">
        <v>0.501</v>
      </c>
      <c r="O177">
        <v>0.98299999999999998</v>
      </c>
      <c r="P177" s="2">
        <f t="shared" si="5"/>
        <v>1.9851214574898783</v>
      </c>
      <c r="Q177" t="str">
        <f t="shared" si="4"/>
        <v>eliptica</v>
      </c>
    </row>
    <row r="178" spans="1:17" x14ac:dyDescent="0.35">
      <c r="A178" t="s">
        <v>13</v>
      </c>
      <c r="B178">
        <v>106.241</v>
      </c>
      <c r="C178">
        <v>122.592</v>
      </c>
      <c r="D178">
        <v>132</v>
      </c>
      <c r="E178">
        <v>68</v>
      </c>
      <c r="F178">
        <v>152</v>
      </c>
      <c r="G178">
        <v>42.68</v>
      </c>
      <c r="H178">
        <v>10.32</v>
      </c>
      <c r="I178">
        <v>14.429</v>
      </c>
      <c r="J178">
        <v>0.73299999999999998</v>
      </c>
      <c r="K178">
        <v>13024.325000000001</v>
      </c>
      <c r="L178">
        <v>127</v>
      </c>
      <c r="M178">
        <v>1.625</v>
      </c>
      <c r="N178">
        <v>0.61499999999999999</v>
      </c>
      <c r="O178">
        <v>0.98499999999999999</v>
      </c>
      <c r="P178" s="2">
        <f t="shared" si="5"/>
        <v>1.3981589147286821</v>
      </c>
      <c r="Q178" t="str">
        <f t="shared" si="4"/>
        <v>esferica</v>
      </c>
    </row>
    <row r="179" spans="1:17" x14ac:dyDescent="0.35">
      <c r="A179" t="s">
        <v>13</v>
      </c>
      <c r="B179">
        <v>87.430999999999997</v>
      </c>
      <c r="C179">
        <v>127.705</v>
      </c>
      <c r="D179">
        <v>148</v>
      </c>
      <c r="E179">
        <v>66</v>
      </c>
      <c r="F179">
        <v>158</v>
      </c>
      <c r="G179">
        <v>40.716999999999999</v>
      </c>
      <c r="H179">
        <v>9.5869999999999997</v>
      </c>
      <c r="I179">
        <v>13.353</v>
      </c>
      <c r="J179">
        <v>0.66300000000000003</v>
      </c>
      <c r="K179">
        <v>11165.366</v>
      </c>
      <c r="L179">
        <v>134</v>
      </c>
      <c r="M179">
        <v>1.766</v>
      </c>
      <c r="N179">
        <v>0.56599999999999995</v>
      </c>
      <c r="O179">
        <v>0.97499999999999998</v>
      </c>
      <c r="P179" s="2">
        <f t="shared" si="5"/>
        <v>1.3928236153124023</v>
      </c>
      <c r="Q179" t="str">
        <f t="shared" si="4"/>
        <v>esferica</v>
      </c>
    </row>
    <row r="180" spans="1:17" x14ac:dyDescent="0.35">
      <c r="A180" t="s">
        <v>13</v>
      </c>
      <c r="B180">
        <v>101.854</v>
      </c>
      <c r="C180">
        <v>124.191</v>
      </c>
      <c r="D180">
        <v>152</v>
      </c>
      <c r="E180">
        <v>58</v>
      </c>
      <c r="F180">
        <v>163</v>
      </c>
      <c r="G180">
        <v>48.055</v>
      </c>
      <c r="H180">
        <v>9.8800000000000008</v>
      </c>
      <c r="I180">
        <v>13.597</v>
      </c>
      <c r="J180">
        <v>0.55400000000000005</v>
      </c>
      <c r="K180">
        <v>12649.39</v>
      </c>
      <c r="L180">
        <v>129</v>
      </c>
      <c r="M180">
        <v>1.37</v>
      </c>
      <c r="N180">
        <v>0.73</v>
      </c>
      <c r="O180">
        <v>0.97199999999999998</v>
      </c>
      <c r="P180" s="2">
        <f t="shared" si="5"/>
        <v>1.3762145748987853</v>
      </c>
      <c r="Q180" t="str">
        <f t="shared" si="4"/>
        <v>esferica</v>
      </c>
    </row>
    <row r="181" spans="1:17" x14ac:dyDescent="0.35">
      <c r="A181" t="s">
        <v>13</v>
      </c>
      <c r="B181">
        <v>86.406999999999996</v>
      </c>
      <c r="C181">
        <v>125.85299999999999</v>
      </c>
      <c r="D181">
        <v>140</v>
      </c>
      <c r="E181">
        <v>63</v>
      </c>
      <c r="F181">
        <v>154</v>
      </c>
      <c r="G181">
        <v>39.402000000000001</v>
      </c>
      <c r="H181">
        <v>8.07</v>
      </c>
      <c r="I181">
        <v>13.451000000000001</v>
      </c>
      <c r="J181">
        <v>0.69899999999999995</v>
      </c>
      <c r="K181">
        <v>10874.538</v>
      </c>
      <c r="L181">
        <v>131</v>
      </c>
      <c r="M181">
        <v>1.643</v>
      </c>
      <c r="N181">
        <v>0.60899999999999999</v>
      </c>
      <c r="O181">
        <v>0.98099999999999998</v>
      </c>
      <c r="P181" s="2">
        <f t="shared" si="5"/>
        <v>1.6667905824039653</v>
      </c>
      <c r="Q181" t="str">
        <f t="shared" si="4"/>
        <v>eliptica</v>
      </c>
    </row>
    <row r="182" spans="1:17" x14ac:dyDescent="0.35">
      <c r="A182" t="s">
        <v>13</v>
      </c>
      <c r="B182">
        <v>174.42599999999999</v>
      </c>
      <c r="C182">
        <v>132.61600000000001</v>
      </c>
      <c r="D182">
        <v>159</v>
      </c>
      <c r="E182">
        <v>66</v>
      </c>
      <c r="F182">
        <v>172</v>
      </c>
      <c r="G182">
        <v>55.518999999999998</v>
      </c>
      <c r="H182">
        <v>13.744</v>
      </c>
      <c r="I182">
        <v>18.292999999999999</v>
      </c>
      <c r="J182">
        <v>0.71099999999999997</v>
      </c>
      <c r="K182">
        <v>23131.686000000002</v>
      </c>
      <c r="L182">
        <v>137</v>
      </c>
      <c r="M182">
        <v>1.623</v>
      </c>
      <c r="N182">
        <v>0.61599999999999999</v>
      </c>
      <c r="O182">
        <v>0.98399999999999999</v>
      </c>
      <c r="P182" s="2">
        <f t="shared" si="5"/>
        <v>1.3309807916181606</v>
      </c>
      <c r="Q182" t="str">
        <f t="shared" si="4"/>
        <v>esferica</v>
      </c>
    </row>
    <row r="183" spans="1:17" x14ac:dyDescent="0.35">
      <c r="A183" t="s">
        <v>13</v>
      </c>
      <c r="B183">
        <v>95.935000000000002</v>
      </c>
      <c r="C183">
        <v>103.108</v>
      </c>
      <c r="D183">
        <v>116</v>
      </c>
      <c r="E183">
        <v>65</v>
      </c>
      <c r="F183">
        <v>131</v>
      </c>
      <c r="G183">
        <v>50.362000000000002</v>
      </c>
      <c r="H183">
        <v>9.4890000000000008</v>
      </c>
      <c r="I183">
        <v>13.891</v>
      </c>
      <c r="J183">
        <v>0.47499999999999998</v>
      </c>
      <c r="K183">
        <v>9891.6990000000005</v>
      </c>
      <c r="L183">
        <v>106</v>
      </c>
      <c r="M183">
        <v>1.49</v>
      </c>
      <c r="N183">
        <v>0.67100000000000004</v>
      </c>
      <c r="O183">
        <v>0.97299999999999998</v>
      </c>
      <c r="P183" s="2">
        <f t="shared" si="5"/>
        <v>1.4639055748761722</v>
      </c>
      <c r="Q183" t="str">
        <f t="shared" si="4"/>
        <v>esferica</v>
      </c>
    </row>
    <row r="184" spans="1:17" x14ac:dyDescent="0.35">
      <c r="A184" t="s">
        <v>13</v>
      </c>
      <c r="B184">
        <v>111.524</v>
      </c>
      <c r="C184">
        <v>130.744</v>
      </c>
      <c r="D184">
        <v>151</v>
      </c>
      <c r="E184">
        <v>64</v>
      </c>
      <c r="F184">
        <v>165</v>
      </c>
      <c r="G184">
        <v>46.258000000000003</v>
      </c>
      <c r="H184">
        <v>10.467000000000001</v>
      </c>
      <c r="I184">
        <v>14.38</v>
      </c>
      <c r="J184">
        <v>0.65500000000000003</v>
      </c>
      <c r="K184">
        <v>14581.009</v>
      </c>
      <c r="L184">
        <v>137</v>
      </c>
      <c r="M184">
        <v>1.4730000000000001</v>
      </c>
      <c r="N184">
        <v>0.67900000000000005</v>
      </c>
      <c r="O184">
        <v>0.98099999999999998</v>
      </c>
      <c r="P184" s="2">
        <f t="shared" si="5"/>
        <v>1.3738415974013567</v>
      </c>
      <c r="Q184" t="str">
        <f t="shared" si="4"/>
        <v>esferica</v>
      </c>
    </row>
    <row r="185" spans="1:17" x14ac:dyDescent="0.35">
      <c r="A185" t="s">
        <v>13</v>
      </c>
      <c r="B185">
        <v>91.016999999999996</v>
      </c>
      <c r="C185">
        <v>120.16200000000001</v>
      </c>
      <c r="D185">
        <v>132</v>
      </c>
      <c r="E185">
        <v>66</v>
      </c>
      <c r="F185">
        <v>152</v>
      </c>
      <c r="G185">
        <v>43.988</v>
      </c>
      <c r="H185">
        <v>8.2170000000000005</v>
      </c>
      <c r="I185">
        <v>13.94</v>
      </c>
      <c r="J185">
        <v>0.59099999999999997</v>
      </c>
      <c r="K185">
        <v>10936.779</v>
      </c>
      <c r="L185">
        <v>126</v>
      </c>
      <c r="M185">
        <v>1.7490000000000001</v>
      </c>
      <c r="N185">
        <v>0.57199999999999995</v>
      </c>
      <c r="O185">
        <v>0.97799999999999998</v>
      </c>
      <c r="P185" s="2">
        <f t="shared" si="5"/>
        <v>1.6964829013021783</v>
      </c>
      <c r="Q185" t="str">
        <f t="shared" si="4"/>
        <v>eliptica</v>
      </c>
    </row>
    <row r="186" spans="1:17" x14ac:dyDescent="0.35">
      <c r="A186" t="s">
        <v>13</v>
      </c>
      <c r="B186">
        <v>117.205</v>
      </c>
      <c r="C186">
        <v>126.97</v>
      </c>
      <c r="D186">
        <v>152</v>
      </c>
      <c r="E186">
        <v>64</v>
      </c>
      <c r="F186">
        <v>163</v>
      </c>
      <c r="G186">
        <v>47.731999999999999</v>
      </c>
      <c r="H186">
        <v>9.7330000000000005</v>
      </c>
      <c r="I186">
        <v>14.771000000000001</v>
      </c>
      <c r="J186">
        <v>0.64600000000000002</v>
      </c>
      <c r="K186">
        <v>14881.526</v>
      </c>
      <c r="L186">
        <v>133</v>
      </c>
      <c r="M186">
        <v>1.542</v>
      </c>
      <c r="N186">
        <v>0.64900000000000002</v>
      </c>
      <c r="O186">
        <v>0.98199999999999998</v>
      </c>
      <c r="P186" s="2">
        <f t="shared" si="5"/>
        <v>1.5176204664543307</v>
      </c>
      <c r="Q186" t="str">
        <f t="shared" si="4"/>
        <v>eliptica</v>
      </c>
    </row>
    <row r="187" spans="1:17" x14ac:dyDescent="0.35">
      <c r="A187" t="s">
        <v>13</v>
      </c>
      <c r="B187">
        <v>85.061999999999998</v>
      </c>
      <c r="C187">
        <v>111.289</v>
      </c>
      <c r="D187">
        <v>132</v>
      </c>
      <c r="E187">
        <v>65</v>
      </c>
      <c r="F187">
        <v>145</v>
      </c>
      <c r="G187">
        <v>46.085999999999999</v>
      </c>
      <c r="H187">
        <v>8.657</v>
      </c>
      <c r="I187">
        <v>14.086</v>
      </c>
      <c r="J187">
        <v>0.503</v>
      </c>
      <c r="K187">
        <v>9466.5490000000009</v>
      </c>
      <c r="L187">
        <v>116</v>
      </c>
      <c r="M187">
        <v>1.9690000000000001</v>
      </c>
      <c r="N187">
        <v>0.50800000000000001</v>
      </c>
      <c r="O187">
        <v>0.97199999999999998</v>
      </c>
      <c r="P187" s="2">
        <f t="shared" si="5"/>
        <v>1.6271225597782142</v>
      </c>
      <c r="Q187" t="str">
        <f t="shared" si="4"/>
        <v>eliptica</v>
      </c>
    </row>
    <row r="188" spans="1:17" x14ac:dyDescent="0.35">
      <c r="A188" t="s">
        <v>13</v>
      </c>
      <c r="B188">
        <v>84.429000000000002</v>
      </c>
      <c r="C188">
        <v>102.873</v>
      </c>
      <c r="D188">
        <v>107</v>
      </c>
      <c r="E188">
        <v>64</v>
      </c>
      <c r="F188">
        <v>170</v>
      </c>
      <c r="G188">
        <v>44.02</v>
      </c>
      <c r="H188">
        <v>8.8529999999999998</v>
      </c>
      <c r="I188">
        <v>12.717000000000001</v>
      </c>
      <c r="J188">
        <v>0.54800000000000004</v>
      </c>
      <c r="K188">
        <v>8685.4150000000009</v>
      </c>
      <c r="L188">
        <v>105</v>
      </c>
      <c r="M188">
        <v>1.4650000000000001</v>
      </c>
      <c r="N188">
        <v>0.68300000000000005</v>
      </c>
      <c r="O188">
        <v>0.97499999999999998</v>
      </c>
      <c r="P188" s="2">
        <f t="shared" si="5"/>
        <v>1.436462216197899</v>
      </c>
      <c r="Q188" t="str">
        <f t="shared" si="4"/>
        <v>esferica</v>
      </c>
    </row>
    <row r="189" spans="1:17" x14ac:dyDescent="0.35">
      <c r="A189" t="s">
        <v>13</v>
      </c>
      <c r="B189">
        <v>68.13</v>
      </c>
      <c r="C189">
        <v>124.255</v>
      </c>
      <c r="D189">
        <v>140</v>
      </c>
      <c r="E189">
        <v>65</v>
      </c>
      <c r="F189">
        <v>154</v>
      </c>
      <c r="G189">
        <v>36.319000000000003</v>
      </c>
      <c r="H189">
        <v>8.266</v>
      </c>
      <c r="I189">
        <v>11.933999999999999</v>
      </c>
      <c r="J189">
        <v>0.64900000000000002</v>
      </c>
      <c r="K189">
        <v>8465.5040000000008</v>
      </c>
      <c r="L189">
        <v>130</v>
      </c>
      <c r="M189">
        <v>1.92</v>
      </c>
      <c r="N189">
        <v>0.52100000000000002</v>
      </c>
      <c r="O189">
        <v>0.97799999999999998</v>
      </c>
      <c r="P189" s="2">
        <f t="shared" si="5"/>
        <v>1.443745463343818</v>
      </c>
      <c r="Q189" t="str">
        <f t="shared" si="4"/>
        <v>esferica</v>
      </c>
    </row>
    <row r="190" spans="1:17" x14ac:dyDescent="0.35">
      <c r="A190" t="s">
        <v>13</v>
      </c>
      <c r="B190">
        <v>112.294</v>
      </c>
      <c r="C190">
        <v>128.679</v>
      </c>
      <c r="D190">
        <v>152</v>
      </c>
      <c r="E190">
        <v>67</v>
      </c>
      <c r="F190">
        <v>162</v>
      </c>
      <c r="G190">
        <v>44.563000000000002</v>
      </c>
      <c r="H190">
        <v>10.663</v>
      </c>
      <c r="I190">
        <v>13.108000000000001</v>
      </c>
      <c r="J190">
        <v>0.71099999999999997</v>
      </c>
      <c r="K190">
        <v>14449.880999999999</v>
      </c>
      <c r="L190">
        <v>136</v>
      </c>
      <c r="M190">
        <v>1.268</v>
      </c>
      <c r="N190">
        <v>0.78900000000000003</v>
      </c>
      <c r="O190">
        <v>0.98399999999999999</v>
      </c>
      <c r="P190" s="2">
        <f t="shared" si="5"/>
        <v>1.2292975710400451</v>
      </c>
      <c r="Q190" t="str">
        <f t="shared" si="4"/>
        <v>esferica</v>
      </c>
    </row>
    <row r="191" spans="1:17" x14ac:dyDescent="0.35">
      <c r="A191" t="s">
        <v>13</v>
      </c>
      <c r="B191">
        <v>98.272999999999996</v>
      </c>
      <c r="C191">
        <v>124.59399999999999</v>
      </c>
      <c r="D191">
        <v>140</v>
      </c>
      <c r="E191">
        <v>66</v>
      </c>
      <c r="F191">
        <v>161</v>
      </c>
      <c r="G191">
        <v>42.078000000000003</v>
      </c>
      <c r="H191">
        <v>9.4890000000000008</v>
      </c>
      <c r="I191">
        <v>12.667999999999999</v>
      </c>
      <c r="J191">
        <v>0.69699999999999995</v>
      </c>
      <c r="K191">
        <v>12244.199000000001</v>
      </c>
      <c r="L191">
        <v>128</v>
      </c>
      <c r="M191">
        <v>1.3879999999999999</v>
      </c>
      <c r="N191">
        <v>0.72</v>
      </c>
      <c r="O191">
        <v>0.98099999999999998</v>
      </c>
      <c r="P191" s="2">
        <f t="shared" si="5"/>
        <v>1.3350194962588258</v>
      </c>
      <c r="Q191" t="str">
        <f t="shared" si="4"/>
        <v>esferica</v>
      </c>
    </row>
    <row r="192" spans="1:17" x14ac:dyDescent="0.35">
      <c r="A192" t="s">
        <v>13</v>
      </c>
      <c r="B192">
        <v>118.253</v>
      </c>
      <c r="C192">
        <v>134.88300000000001</v>
      </c>
      <c r="D192">
        <v>153</v>
      </c>
      <c r="E192">
        <v>67</v>
      </c>
      <c r="F192">
        <v>168</v>
      </c>
      <c r="G192">
        <v>43.9</v>
      </c>
      <c r="H192">
        <v>10.712</v>
      </c>
      <c r="I192">
        <v>14.183999999999999</v>
      </c>
      <c r="J192">
        <v>0.77100000000000002</v>
      </c>
      <c r="K192">
        <v>15950.362999999999</v>
      </c>
      <c r="L192">
        <v>142</v>
      </c>
      <c r="M192">
        <v>1.3420000000000001</v>
      </c>
      <c r="N192">
        <v>0.745</v>
      </c>
      <c r="O192">
        <v>0.98499999999999999</v>
      </c>
      <c r="P192" s="2">
        <f t="shared" si="5"/>
        <v>1.3241224794622852</v>
      </c>
      <c r="Q192" t="str">
        <f t="shared" si="4"/>
        <v>esferica</v>
      </c>
    </row>
    <row r="193" spans="1:17" x14ac:dyDescent="0.35">
      <c r="A193" t="s">
        <v>13</v>
      </c>
      <c r="B193">
        <v>148.99600000000001</v>
      </c>
      <c r="C193">
        <v>134.63499999999999</v>
      </c>
      <c r="D193">
        <v>151</v>
      </c>
      <c r="E193">
        <v>62</v>
      </c>
      <c r="F193">
        <v>166</v>
      </c>
      <c r="G193">
        <v>54.313000000000002</v>
      </c>
      <c r="H193">
        <v>10.907</v>
      </c>
      <c r="I193">
        <v>17.119</v>
      </c>
      <c r="J193">
        <v>0.63500000000000001</v>
      </c>
      <c r="K193">
        <v>20060.073</v>
      </c>
      <c r="L193">
        <v>141</v>
      </c>
      <c r="M193">
        <v>1.575</v>
      </c>
      <c r="N193">
        <v>0.63500000000000001</v>
      </c>
      <c r="O193">
        <v>0.98099999999999998</v>
      </c>
      <c r="P193" s="2">
        <f t="shared" si="5"/>
        <v>1.5695424956449986</v>
      </c>
      <c r="Q193" t="str">
        <f t="shared" si="4"/>
        <v>eliptica</v>
      </c>
    </row>
    <row r="194" spans="1:17" x14ac:dyDescent="0.35">
      <c r="A194" t="s">
        <v>13</v>
      </c>
      <c r="B194">
        <v>102.631</v>
      </c>
      <c r="C194">
        <v>119.41</v>
      </c>
      <c r="D194">
        <v>136</v>
      </c>
      <c r="E194">
        <v>65</v>
      </c>
      <c r="F194">
        <v>149</v>
      </c>
      <c r="G194">
        <v>45.372</v>
      </c>
      <c r="H194">
        <v>8.8040000000000003</v>
      </c>
      <c r="I194">
        <v>15.065</v>
      </c>
      <c r="J194">
        <v>0.626</v>
      </c>
      <c r="K194">
        <v>12255.27</v>
      </c>
      <c r="L194">
        <v>124</v>
      </c>
      <c r="M194">
        <v>1.806</v>
      </c>
      <c r="N194">
        <v>0.55400000000000005</v>
      </c>
      <c r="O194">
        <v>0.98</v>
      </c>
      <c r="P194" s="2">
        <f t="shared" si="5"/>
        <v>1.711154020899591</v>
      </c>
      <c r="Q194" t="str">
        <f t="shared" ref="Q194:Q257" si="6">IF(P194&lt;1,"ovoide",IF(P194&lt;1.5,"esferica",IF(P194&lt;2,"eliptica","alongada")))</f>
        <v>eliptica</v>
      </c>
    </row>
    <row r="195" spans="1:17" x14ac:dyDescent="0.35">
      <c r="A195" t="s">
        <v>13</v>
      </c>
      <c r="B195">
        <v>90.102999999999994</v>
      </c>
      <c r="C195">
        <v>125.977</v>
      </c>
      <c r="D195">
        <v>140</v>
      </c>
      <c r="E195">
        <v>67</v>
      </c>
      <c r="F195">
        <v>157</v>
      </c>
      <c r="G195">
        <v>41.238999999999997</v>
      </c>
      <c r="H195">
        <v>8.3640000000000008</v>
      </c>
      <c r="I195">
        <v>13.058999999999999</v>
      </c>
      <c r="J195">
        <v>0.66600000000000004</v>
      </c>
      <c r="K195">
        <v>11350.941000000001</v>
      </c>
      <c r="L195">
        <v>132</v>
      </c>
      <c r="M195">
        <v>1.5449999999999999</v>
      </c>
      <c r="N195">
        <v>0.64700000000000002</v>
      </c>
      <c r="O195">
        <v>0.97399999999999998</v>
      </c>
      <c r="P195" s="2">
        <f t="shared" ref="P195:P258" si="7">I195/H195</f>
        <v>1.5613342898134861</v>
      </c>
      <c r="Q195" t="str">
        <f t="shared" si="6"/>
        <v>eliptica</v>
      </c>
    </row>
    <row r="196" spans="1:17" x14ac:dyDescent="0.35">
      <c r="A196" t="s">
        <v>13</v>
      </c>
      <c r="B196">
        <v>68.953000000000003</v>
      </c>
      <c r="C196">
        <v>106.277</v>
      </c>
      <c r="D196">
        <v>107</v>
      </c>
      <c r="E196">
        <v>63</v>
      </c>
      <c r="F196">
        <v>139</v>
      </c>
      <c r="G196">
        <v>40.106000000000002</v>
      </c>
      <c r="H196">
        <v>7.19</v>
      </c>
      <c r="I196">
        <v>12.815</v>
      </c>
      <c r="J196">
        <v>0.53900000000000003</v>
      </c>
      <c r="K196">
        <v>7328.116</v>
      </c>
      <c r="L196">
        <v>108</v>
      </c>
      <c r="M196">
        <v>1.9</v>
      </c>
      <c r="N196">
        <v>0.52600000000000002</v>
      </c>
      <c r="O196">
        <v>0.96099999999999997</v>
      </c>
      <c r="P196" s="2">
        <f t="shared" si="7"/>
        <v>1.7823365785813627</v>
      </c>
      <c r="Q196" t="str">
        <f t="shared" si="6"/>
        <v>eliptica</v>
      </c>
    </row>
    <row r="197" spans="1:17" x14ac:dyDescent="0.35">
      <c r="A197" t="s">
        <v>13</v>
      </c>
      <c r="B197">
        <v>115.736</v>
      </c>
      <c r="C197">
        <v>125.485</v>
      </c>
      <c r="D197">
        <v>140</v>
      </c>
      <c r="E197">
        <v>66</v>
      </c>
      <c r="F197">
        <v>157</v>
      </c>
      <c r="G197">
        <v>46.488999999999997</v>
      </c>
      <c r="H197">
        <v>9.9290000000000003</v>
      </c>
      <c r="I197">
        <v>15.847</v>
      </c>
      <c r="J197">
        <v>0.67300000000000004</v>
      </c>
      <c r="K197">
        <v>14523.169</v>
      </c>
      <c r="L197">
        <v>131</v>
      </c>
      <c r="M197">
        <v>1.855</v>
      </c>
      <c r="N197">
        <v>0.53900000000000003</v>
      </c>
      <c r="O197">
        <v>0.98399999999999999</v>
      </c>
      <c r="P197" s="2">
        <f t="shared" si="7"/>
        <v>1.5960318259643467</v>
      </c>
      <c r="Q197" t="str">
        <f t="shared" si="6"/>
        <v>eliptica</v>
      </c>
    </row>
    <row r="198" spans="1:17" x14ac:dyDescent="0.35">
      <c r="A198" t="s">
        <v>13</v>
      </c>
      <c r="B198">
        <v>120.042</v>
      </c>
      <c r="C198">
        <v>130.643</v>
      </c>
      <c r="D198">
        <v>148</v>
      </c>
      <c r="E198">
        <v>66</v>
      </c>
      <c r="F198">
        <v>188</v>
      </c>
      <c r="G198">
        <v>47.741</v>
      </c>
      <c r="H198">
        <v>10.125</v>
      </c>
      <c r="I198">
        <v>15.211</v>
      </c>
      <c r="J198">
        <v>0.66200000000000003</v>
      </c>
      <c r="K198">
        <v>15682.76</v>
      </c>
      <c r="L198">
        <v>137</v>
      </c>
      <c r="M198">
        <v>1.508</v>
      </c>
      <c r="N198">
        <v>0.66300000000000003</v>
      </c>
      <c r="O198">
        <v>0.98099999999999998</v>
      </c>
      <c r="P198" s="2">
        <f t="shared" si="7"/>
        <v>1.5023209876543211</v>
      </c>
      <c r="Q198" t="str">
        <f t="shared" si="6"/>
        <v>eliptica</v>
      </c>
    </row>
    <row r="199" spans="1:17" x14ac:dyDescent="0.35">
      <c r="A199" t="s">
        <v>13</v>
      </c>
      <c r="B199">
        <v>104.38</v>
      </c>
      <c r="C199">
        <v>128.06800000000001</v>
      </c>
      <c r="D199">
        <v>147</v>
      </c>
      <c r="E199">
        <v>38</v>
      </c>
      <c r="F199">
        <v>166</v>
      </c>
      <c r="G199">
        <v>44.881999999999998</v>
      </c>
      <c r="H199">
        <v>10.369</v>
      </c>
      <c r="I199">
        <v>14.478</v>
      </c>
      <c r="J199">
        <v>0.65100000000000002</v>
      </c>
      <c r="K199">
        <v>13367.752</v>
      </c>
      <c r="L199">
        <v>134</v>
      </c>
      <c r="M199">
        <v>1.6950000000000001</v>
      </c>
      <c r="N199">
        <v>0.59</v>
      </c>
      <c r="O199">
        <v>0.97799999999999998</v>
      </c>
      <c r="P199" s="2">
        <f t="shared" si="7"/>
        <v>1.3962773652232616</v>
      </c>
      <c r="Q199" t="str">
        <f t="shared" si="6"/>
        <v>esferica</v>
      </c>
    </row>
    <row r="200" spans="1:17" x14ac:dyDescent="0.35">
      <c r="A200" t="s">
        <v>13</v>
      </c>
      <c r="B200">
        <v>50.606000000000002</v>
      </c>
      <c r="C200">
        <v>112.941</v>
      </c>
      <c r="D200">
        <v>130</v>
      </c>
      <c r="E200">
        <v>67</v>
      </c>
      <c r="F200">
        <v>147</v>
      </c>
      <c r="G200">
        <v>32.698</v>
      </c>
      <c r="H200">
        <v>6.016</v>
      </c>
      <c r="I200">
        <v>11.788</v>
      </c>
      <c r="J200">
        <v>0.59499999999999997</v>
      </c>
      <c r="K200">
        <v>5715.5389999999998</v>
      </c>
      <c r="L200">
        <v>117</v>
      </c>
      <c r="M200">
        <v>2.2570000000000001</v>
      </c>
      <c r="N200">
        <v>0.443</v>
      </c>
      <c r="O200">
        <v>0.97599999999999998</v>
      </c>
      <c r="P200" s="2">
        <f t="shared" si="7"/>
        <v>1.9594414893617023</v>
      </c>
      <c r="Q200" t="str">
        <f t="shared" si="6"/>
        <v>eliptica</v>
      </c>
    </row>
    <row r="201" spans="1:17" x14ac:dyDescent="0.35">
      <c r="A201" t="s">
        <v>13</v>
      </c>
      <c r="B201">
        <v>87.417000000000002</v>
      </c>
      <c r="C201">
        <v>113.241</v>
      </c>
      <c r="D201">
        <v>137</v>
      </c>
      <c r="E201">
        <v>59</v>
      </c>
      <c r="F201">
        <v>149</v>
      </c>
      <c r="G201">
        <v>44.307000000000002</v>
      </c>
      <c r="H201">
        <v>9.6839999999999993</v>
      </c>
      <c r="I201">
        <v>11.69</v>
      </c>
      <c r="J201">
        <v>0.56000000000000005</v>
      </c>
      <c r="K201">
        <v>9899.1200000000008</v>
      </c>
      <c r="L201">
        <v>117</v>
      </c>
      <c r="M201">
        <v>1.2609999999999999</v>
      </c>
      <c r="N201">
        <v>0.79300000000000004</v>
      </c>
      <c r="O201">
        <v>0.97299999999999998</v>
      </c>
      <c r="P201" s="2">
        <f t="shared" si="7"/>
        <v>1.2071458075175547</v>
      </c>
      <c r="Q201" t="str">
        <f t="shared" si="6"/>
        <v>esferica</v>
      </c>
    </row>
    <row r="202" spans="1:17" x14ac:dyDescent="0.35">
      <c r="A202" t="s">
        <v>14</v>
      </c>
      <c r="B202">
        <v>113.399</v>
      </c>
      <c r="C202">
        <v>132.839</v>
      </c>
      <c r="D202">
        <v>158</v>
      </c>
      <c r="E202">
        <v>59</v>
      </c>
      <c r="F202">
        <v>169</v>
      </c>
      <c r="G202">
        <v>49.274999999999999</v>
      </c>
      <c r="H202">
        <v>11.005000000000001</v>
      </c>
      <c r="I202">
        <v>13.01</v>
      </c>
      <c r="J202">
        <v>0.58699999999999997</v>
      </c>
      <c r="K202">
        <v>15063.88</v>
      </c>
      <c r="L202">
        <v>139</v>
      </c>
      <c r="M202">
        <v>1.1910000000000001</v>
      </c>
      <c r="N202">
        <v>0.84</v>
      </c>
      <c r="O202">
        <v>0.97799999999999998</v>
      </c>
      <c r="P202" s="2">
        <f t="shared" si="7"/>
        <v>1.182189913675602</v>
      </c>
      <c r="Q202" t="str">
        <f t="shared" si="6"/>
        <v>esferica</v>
      </c>
    </row>
    <row r="203" spans="1:17" x14ac:dyDescent="0.35">
      <c r="A203" t="s">
        <v>14</v>
      </c>
      <c r="B203">
        <v>107.289</v>
      </c>
      <c r="C203">
        <v>126.8</v>
      </c>
      <c r="D203">
        <v>149</v>
      </c>
      <c r="E203">
        <v>63</v>
      </c>
      <c r="F203">
        <v>163</v>
      </c>
      <c r="G203">
        <v>45.264000000000003</v>
      </c>
      <c r="H203">
        <v>9.4890000000000008</v>
      </c>
      <c r="I203">
        <v>14.183999999999999</v>
      </c>
      <c r="J203">
        <v>0.65800000000000003</v>
      </c>
      <c r="K203">
        <v>13604.28</v>
      </c>
      <c r="L203">
        <v>131</v>
      </c>
      <c r="M203">
        <v>1.4730000000000001</v>
      </c>
      <c r="N203">
        <v>0.67900000000000005</v>
      </c>
      <c r="O203">
        <v>0.97899999999999998</v>
      </c>
      <c r="P203" s="2">
        <f t="shared" si="7"/>
        <v>1.4947834334492569</v>
      </c>
      <c r="Q203" t="str">
        <f t="shared" si="6"/>
        <v>esferica</v>
      </c>
    </row>
    <row r="204" spans="1:17" x14ac:dyDescent="0.35">
      <c r="A204" t="s">
        <v>14</v>
      </c>
      <c r="B204">
        <v>120.009</v>
      </c>
      <c r="C204">
        <v>130.08000000000001</v>
      </c>
      <c r="D204">
        <v>153</v>
      </c>
      <c r="E204">
        <v>62</v>
      </c>
      <c r="F204">
        <v>162</v>
      </c>
      <c r="G204">
        <v>51.000999999999998</v>
      </c>
      <c r="H204">
        <v>10.173</v>
      </c>
      <c r="I204">
        <v>15.358000000000001</v>
      </c>
      <c r="J204">
        <v>0.57999999999999996</v>
      </c>
      <c r="K204">
        <v>15610.771000000001</v>
      </c>
      <c r="L204">
        <v>139</v>
      </c>
      <c r="M204">
        <v>1.619</v>
      </c>
      <c r="N204">
        <v>0.61799999999999999</v>
      </c>
      <c r="O204">
        <v>0.98099999999999998</v>
      </c>
      <c r="P204" s="2">
        <f t="shared" si="7"/>
        <v>1.5096824928732921</v>
      </c>
      <c r="Q204" t="str">
        <f t="shared" si="6"/>
        <v>eliptica</v>
      </c>
    </row>
    <row r="205" spans="1:17" x14ac:dyDescent="0.35">
      <c r="A205" t="s">
        <v>14</v>
      </c>
      <c r="B205">
        <v>91.304000000000002</v>
      </c>
      <c r="C205">
        <v>103.34399999999999</v>
      </c>
      <c r="D205">
        <v>110</v>
      </c>
      <c r="E205">
        <v>65</v>
      </c>
      <c r="F205">
        <v>143</v>
      </c>
      <c r="G205">
        <v>46.345999999999997</v>
      </c>
      <c r="H205">
        <v>9.0969999999999995</v>
      </c>
      <c r="I205">
        <v>13.157</v>
      </c>
      <c r="J205">
        <v>0.53400000000000003</v>
      </c>
      <c r="K205">
        <v>9435.6790000000001</v>
      </c>
      <c r="L205">
        <v>104</v>
      </c>
      <c r="M205">
        <v>1.5189999999999999</v>
      </c>
      <c r="N205">
        <v>0.65800000000000003</v>
      </c>
      <c r="O205">
        <v>0.97299999999999998</v>
      </c>
      <c r="P205" s="2">
        <f t="shared" si="7"/>
        <v>1.4463009783445093</v>
      </c>
      <c r="Q205" t="str">
        <f t="shared" si="6"/>
        <v>esferica</v>
      </c>
    </row>
    <row r="206" spans="1:17" x14ac:dyDescent="0.35">
      <c r="A206" t="s">
        <v>14</v>
      </c>
      <c r="B206">
        <v>89.064999999999998</v>
      </c>
      <c r="C206">
        <v>125.13800000000001</v>
      </c>
      <c r="D206">
        <v>143</v>
      </c>
      <c r="E206">
        <v>63</v>
      </c>
      <c r="F206">
        <v>156</v>
      </c>
      <c r="G206">
        <v>40.067</v>
      </c>
      <c r="H206">
        <v>8.8040000000000003</v>
      </c>
      <c r="I206">
        <v>13.304</v>
      </c>
      <c r="J206">
        <v>0.69699999999999995</v>
      </c>
      <c r="K206">
        <v>11145.376</v>
      </c>
      <c r="L206">
        <v>132</v>
      </c>
      <c r="M206">
        <v>1.651</v>
      </c>
      <c r="N206">
        <v>0.60599999999999998</v>
      </c>
      <c r="O206">
        <v>0.98499999999999999</v>
      </c>
      <c r="P206" s="2">
        <f t="shared" si="7"/>
        <v>1.5111313039527488</v>
      </c>
      <c r="Q206" t="str">
        <f t="shared" si="6"/>
        <v>eliptica</v>
      </c>
    </row>
    <row r="207" spans="1:17" x14ac:dyDescent="0.35">
      <c r="A207" t="s">
        <v>14</v>
      </c>
      <c r="B207">
        <v>137.73099999999999</v>
      </c>
      <c r="C207">
        <v>128.203</v>
      </c>
      <c r="D207">
        <v>150</v>
      </c>
      <c r="E207">
        <v>43</v>
      </c>
      <c r="F207">
        <v>167</v>
      </c>
      <c r="G207">
        <v>65.480999999999995</v>
      </c>
      <c r="H207">
        <v>11.151999999999999</v>
      </c>
      <c r="I207">
        <v>17.754999999999999</v>
      </c>
      <c r="J207">
        <v>0.40400000000000003</v>
      </c>
      <c r="K207">
        <v>17657.525000000001</v>
      </c>
      <c r="L207">
        <v>135</v>
      </c>
      <c r="M207">
        <v>1.68</v>
      </c>
      <c r="N207">
        <v>0.59499999999999997</v>
      </c>
      <c r="O207">
        <v>0.95</v>
      </c>
      <c r="P207" s="2">
        <f t="shared" si="7"/>
        <v>1.5920911047345767</v>
      </c>
      <c r="Q207" t="str">
        <f t="shared" si="6"/>
        <v>eliptica</v>
      </c>
    </row>
    <row r="208" spans="1:17" x14ac:dyDescent="0.35">
      <c r="A208" t="s">
        <v>14</v>
      </c>
      <c r="B208">
        <v>132.00200000000001</v>
      </c>
      <c r="C208">
        <v>124.745</v>
      </c>
      <c r="D208">
        <v>143</v>
      </c>
      <c r="E208">
        <v>64</v>
      </c>
      <c r="F208">
        <v>159</v>
      </c>
      <c r="G208">
        <v>51.643000000000001</v>
      </c>
      <c r="H208">
        <v>10.565</v>
      </c>
      <c r="I208">
        <v>16.824999999999999</v>
      </c>
      <c r="J208">
        <v>0.622</v>
      </c>
      <c r="K208">
        <v>16466.550999999999</v>
      </c>
      <c r="L208">
        <v>132</v>
      </c>
      <c r="M208">
        <v>1.7669999999999999</v>
      </c>
      <c r="N208">
        <v>0.56599999999999995</v>
      </c>
      <c r="O208">
        <v>0.98099999999999998</v>
      </c>
      <c r="P208" s="2">
        <f t="shared" si="7"/>
        <v>1.5925224798864175</v>
      </c>
      <c r="Q208" t="str">
        <f t="shared" si="6"/>
        <v>eliptica</v>
      </c>
    </row>
    <row r="209" spans="1:17" x14ac:dyDescent="0.35">
      <c r="A209" t="s">
        <v>14</v>
      </c>
      <c r="B209">
        <v>48.594000000000001</v>
      </c>
      <c r="C209">
        <v>91.05</v>
      </c>
      <c r="D209">
        <v>99</v>
      </c>
      <c r="E209">
        <v>63</v>
      </c>
      <c r="F209">
        <v>112</v>
      </c>
      <c r="G209">
        <v>36.948999999999998</v>
      </c>
      <c r="H209">
        <v>6.407</v>
      </c>
      <c r="I209">
        <v>10.076000000000001</v>
      </c>
      <c r="J209">
        <v>0.44700000000000001</v>
      </c>
      <c r="K209">
        <v>4424.5249999999996</v>
      </c>
      <c r="L209">
        <v>93</v>
      </c>
      <c r="M209">
        <v>1.659</v>
      </c>
      <c r="N209">
        <v>0.60299999999999998</v>
      </c>
      <c r="O209">
        <v>0.95799999999999996</v>
      </c>
      <c r="P209" s="2">
        <f t="shared" si="7"/>
        <v>1.5726549086936163</v>
      </c>
      <c r="Q209" t="str">
        <f t="shared" si="6"/>
        <v>eliptica</v>
      </c>
    </row>
    <row r="210" spans="1:17" x14ac:dyDescent="0.35">
      <c r="A210" t="s">
        <v>14</v>
      </c>
      <c r="B210">
        <v>118.29900000000001</v>
      </c>
      <c r="C210">
        <v>126.717</v>
      </c>
      <c r="D210">
        <v>134</v>
      </c>
      <c r="E210">
        <v>64</v>
      </c>
      <c r="F210">
        <v>159</v>
      </c>
      <c r="G210">
        <v>47.01</v>
      </c>
      <c r="H210">
        <v>10.614000000000001</v>
      </c>
      <c r="I210">
        <v>13.891</v>
      </c>
      <c r="J210">
        <v>0.67300000000000004</v>
      </c>
      <c r="K210">
        <v>14990.375</v>
      </c>
      <c r="L210">
        <v>132</v>
      </c>
      <c r="M210">
        <v>1.3120000000000001</v>
      </c>
      <c r="N210">
        <v>0.76200000000000001</v>
      </c>
      <c r="O210">
        <v>0.98099999999999998</v>
      </c>
      <c r="P210" s="2">
        <f t="shared" si="7"/>
        <v>1.3087431693989071</v>
      </c>
      <c r="Q210" t="str">
        <f t="shared" si="6"/>
        <v>esferica</v>
      </c>
    </row>
    <row r="211" spans="1:17" x14ac:dyDescent="0.35">
      <c r="A211" t="s">
        <v>14</v>
      </c>
      <c r="B211">
        <v>121.373</v>
      </c>
      <c r="C211">
        <v>128.91999999999999</v>
      </c>
      <c r="D211">
        <v>147</v>
      </c>
      <c r="E211">
        <v>65</v>
      </c>
      <c r="F211">
        <v>158</v>
      </c>
      <c r="G211">
        <v>45.12</v>
      </c>
      <c r="H211">
        <v>10.173</v>
      </c>
      <c r="I211">
        <v>14.673</v>
      </c>
      <c r="J211">
        <v>0.749</v>
      </c>
      <c r="K211">
        <v>15647.32</v>
      </c>
      <c r="L211">
        <v>134</v>
      </c>
      <c r="M211">
        <v>1.4590000000000001</v>
      </c>
      <c r="N211">
        <v>0.68500000000000005</v>
      </c>
      <c r="O211">
        <v>0.98699999999999999</v>
      </c>
      <c r="P211" s="2">
        <f t="shared" si="7"/>
        <v>1.442347390150398</v>
      </c>
      <c r="Q211" t="str">
        <f t="shared" si="6"/>
        <v>esferica</v>
      </c>
    </row>
    <row r="212" spans="1:17" x14ac:dyDescent="0.35">
      <c r="A212" t="s">
        <v>14</v>
      </c>
      <c r="B212">
        <v>133.32900000000001</v>
      </c>
      <c r="C212">
        <v>128.92699999999999</v>
      </c>
      <c r="D212">
        <v>156</v>
      </c>
      <c r="E212">
        <v>63</v>
      </c>
      <c r="F212">
        <v>179</v>
      </c>
      <c r="G212">
        <v>51.704000000000001</v>
      </c>
      <c r="H212">
        <v>10.956</v>
      </c>
      <c r="I212">
        <v>15.407</v>
      </c>
      <c r="J212">
        <v>0.627</v>
      </c>
      <c r="K212">
        <v>17189.762999999999</v>
      </c>
      <c r="L212">
        <v>134</v>
      </c>
      <c r="M212">
        <v>1.3919999999999999</v>
      </c>
      <c r="N212">
        <v>0.71899999999999997</v>
      </c>
      <c r="O212">
        <v>0.98099999999999998</v>
      </c>
      <c r="P212" s="2">
        <f t="shared" si="7"/>
        <v>1.4062614092734576</v>
      </c>
      <c r="Q212" t="str">
        <f t="shared" si="6"/>
        <v>esferica</v>
      </c>
    </row>
    <row r="213" spans="1:17" x14ac:dyDescent="0.35">
      <c r="A213" t="s">
        <v>14</v>
      </c>
      <c r="B213">
        <v>119.777</v>
      </c>
      <c r="C213">
        <v>129.917</v>
      </c>
      <c r="D213">
        <v>152</v>
      </c>
      <c r="E213">
        <v>64</v>
      </c>
      <c r="F213">
        <v>164</v>
      </c>
      <c r="G213">
        <v>50.546999999999997</v>
      </c>
      <c r="H213">
        <v>10.808999999999999</v>
      </c>
      <c r="I213">
        <v>14.722</v>
      </c>
      <c r="J213">
        <v>0.58899999999999997</v>
      </c>
      <c r="K213">
        <v>15561.05</v>
      </c>
      <c r="L213">
        <v>140</v>
      </c>
      <c r="M213">
        <v>1.4430000000000001</v>
      </c>
      <c r="N213">
        <v>0.69299999999999995</v>
      </c>
      <c r="O213">
        <v>0.97599999999999998</v>
      </c>
      <c r="P213" s="2">
        <f t="shared" si="7"/>
        <v>1.3620131372004811</v>
      </c>
      <c r="Q213" t="str">
        <f t="shared" si="6"/>
        <v>esferica</v>
      </c>
    </row>
    <row r="214" spans="1:17" x14ac:dyDescent="0.35">
      <c r="A214" t="s">
        <v>14</v>
      </c>
      <c r="B214">
        <v>121.167</v>
      </c>
      <c r="C214">
        <v>116.367</v>
      </c>
      <c r="D214">
        <v>135</v>
      </c>
      <c r="E214">
        <v>65</v>
      </c>
      <c r="F214">
        <v>149</v>
      </c>
      <c r="G214">
        <v>48.043999999999997</v>
      </c>
      <c r="H214">
        <v>9.6839999999999993</v>
      </c>
      <c r="I214">
        <v>15.847</v>
      </c>
      <c r="J214">
        <v>0.66</v>
      </c>
      <c r="K214">
        <v>14099.811</v>
      </c>
      <c r="L214">
        <v>120</v>
      </c>
      <c r="M214">
        <v>1.605</v>
      </c>
      <c r="N214">
        <v>0.623</v>
      </c>
      <c r="O214">
        <v>0.97899999999999998</v>
      </c>
      <c r="P214" s="2">
        <f t="shared" si="7"/>
        <v>1.6364105741429162</v>
      </c>
      <c r="Q214" t="str">
        <f t="shared" si="6"/>
        <v>eliptica</v>
      </c>
    </row>
    <row r="215" spans="1:17" x14ac:dyDescent="0.35">
      <c r="A215" t="s">
        <v>14</v>
      </c>
      <c r="B215">
        <v>111.29900000000001</v>
      </c>
      <c r="C215">
        <v>119.191</v>
      </c>
      <c r="D215">
        <v>136</v>
      </c>
      <c r="E215">
        <v>63</v>
      </c>
      <c r="F215">
        <v>165</v>
      </c>
      <c r="G215">
        <v>53.648000000000003</v>
      </c>
      <c r="H215">
        <v>10.173</v>
      </c>
      <c r="I215">
        <v>16.091999999999999</v>
      </c>
      <c r="J215">
        <v>0.48599999999999999</v>
      </c>
      <c r="K215">
        <v>13265.846</v>
      </c>
      <c r="L215">
        <v>125</v>
      </c>
      <c r="M215">
        <v>1.974</v>
      </c>
      <c r="N215">
        <v>0.50700000000000001</v>
      </c>
      <c r="O215">
        <v>0.94899999999999995</v>
      </c>
      <c r="P215" s="2">
        <f t="shared" si="7"/>
        <v>1.5818342671778236</v>
      </c>
      <c r="Q215" t="str">
        <f t="shared" si="6"/>
        <v>eliptica</v>
      </c>
    </row>
    <row r="216" spans="1:17" x14ac:dyDescent="0.35">
      <c r="A216" t="s">
        <v>14</v>
      </c>
      <c r="B216">
        <v>101.806</v>
      </c>
      <c r="C216">
        <v>99.141999999999996</v>
      </c>
      <c r="D216">
        <v>101</v>
      </c>
      <c r="E216">
        <v>61</v>
      </c>
      <c r="F216">
        <v>130</v>
      </c>
      <c r="G216">
        <v>52.939</v>
      </c>
      <c r="H216">
        <v>10.712</v>
      </c>
      <c r="I216">
        <v>13.744</v>
      </c>
      <c r="J216">
        <v>0.45600000000000002</v>
      </c>
      <c r="K216">
        <v>10093.227999999999</v>
      </c>
      <c r="L216">
        <v>100</v>
      </c>
      <c r="M216">
        <v>1.6319999999999999</v>
      </c>
      <c r="N216">
        <v>0.61299999999999999</v>
      </c>
      <c r="O216">
        <v>0.97399999999999998</v>
      </c>
      <c r="P216" s="2">
        <f t="shared" si="7"/>
        <v>1.2830470500373412</v>
      </c>
      <c r="Q216" t="str">
        <f t="shared" si="6"/>
        <v>esferica</v>
      </c>
    </row>
    <row r="217" spans="1:17" x14ac:dyDescent="0.35">
      <c r="A217" t="s">
        <v>14</v>
      </c>
      <c r="B217">
        <v>116.964</v>
      </c>
      <c r="C217">
        <v>103.91500000000001</v>
      </c>
      <c r="D217">
        <v>112</v>
      </c>
      <c r="E217">
        <v>58</v>
      </c>
      <c r="F217">
        <v>130</v>
      </c>
      <c r="G217">
        <v>50.34</v>
      </c>
      <c r="H217">
        <v>9.9779999999999998</v>
      </c>
      <c r="I217">
        <v>14.722</v>
      </c>
      <c r="J217">
        <v>0.57999999999999996</v>
      </c>
      <c r="K217">
        <v>12154.244000000001</v>
      </c>
      <c r="L217">
        <v>107</v>
      </c>
      <c r="M217">
        <v>1.4730000000000001</v>
      </c>
      <c r="N217">
        <v>0.67900000000000005</v>
      </c>
      <c r="O217">
        <v>0.97899999999999998</v>
      </c>
      <c r="P217" s="2">
        <f t="shared" si="7"/>
        <v>1.4754459811585487</v>
      </c>
      <c r="Q217" t="str">
        <f t="shared" si="6"/>
        <v>esferica</v>
      </c>
    </row>
    <row r="218" spans="1:17" x14ac:dyDescent="0.35">
      <c r="A218" t="s">
        <v>14</v>
      </c>
      <c r="B218">
        <v>144.77600000000001</v>
      </c>
      <c r="C218">
        <v>130.9</v>
      </c>
      <c r="D218">
        <v>157</v>
      </c>
      <c r="E218">
        <v>63</v>
      </c>
      <c r="F218">
        <v>167</v>
      </c>
      <c r="G218">
        <v>53.253</v>
      </c>
      <c r="H218">
        <v>10.712</v>
      </c>
      <c r="I218">
        <v>16.483000000000001</v>
      </c>
      <c r="J218">
        <v>0.64200000000000002</v>
      </c>
      <c r="K218">
        <v>18951.243999999999</v>
      </c>
      <c r="L218">
        <v>138</v>
      </c>
      <c r="M218">
        <v>1.5469999999999999</v>
      </c>
      <c r="N218">
        <v>0.64600000000000002</v>
      </c>
      <c r="O218">
        <v>0.98299999999999998</v>
      </c>
      <c r="P218" s="2">
        <f t="shared" si="7"/>
        <v>1.5387415982076178</v>
      </c>
      <c r="Q218" t="str">
        <f t="shared" si="6"/>
        <v>eliptica</v>
      </c>
    </row>
    <row r="219" spans="1:17" x14ac:dyDescent="0.35">
      <c r="A219" t="s">
        <v>14</v>
      </c>
      <c r="B219">
        <v>103.68600000000001</v>
      </c>
      <c r="C219">
        <v>124.383</v>
      </c>
      <c r="D219">
        <v>143</v>
      </c>
      <c r="E219">
        <v>63</v>
      </c>
      <c r="F219">
        <v>190</v>
      </c>
      <c r="G219">
        <v>45.362000000000002</v>
      </c>
      <c r="H219">
        <v>8.9019999999999992</v>
      </c>
      <c r="I219">
        <v>14.526999999999999</v>
      </c>
      <c r="J219">
        <v>0.63300000000000001</v>
      </c>
      <c r="K219">
        <v>12896.819</v>
      </c>
      <c r="L219">
        <v>130</v>
      </c>
      <c r="M219">
        <v>1.68</v>
      </c>
      <c r="N219">
        <v>0.59499999999999997</v>
      </c>
      <c r="O219">
        <v>0.96899999999999997</v>
      </c>
      <c r="P219" s="2">
        <f t="shared" si="7"/>
        <v>1.6318804762974612</v>
      </c>
      <c r="Q219" t="str">
        <f t="shared" si="6"/>
        <v>eliptica</v>
      </c>
    </row>
    <row r="220" spans="1:17" x14ac:dyDescent="0.35">
      <c r="A220" t="s">
        <v>14</v>
      </c>
      <c r="B220">
        <v>134.827</v>
      </c>
      <c r="C220">
        <v>129.24299999999999</v>
      </c>
      <c r="D220">
        <v>143</v>
      </c>
      <c r="E220">
        <v>63</v>
      </c>
      <c r="F220">
        <v>162</v>
      </c>
      <c r="G220">
        <v>49.226999999999997</v>
      </c>
      <c r="H220">
        <v>10.76</v>
      </c>
      <c r="I220">
        <v>15.651999999999999</v>
      </c>
      <c r="J220">
        <v>0.69899999999999995</v>
      </c>
      <c r="K220">
        <v>17425.490000000002</v>
      </c>
      <c r="L220">
        <v>136</v>
      </c>
      <c r="M220">
        <v>1.4610000000000001</v>
      </c>
      <c r="N220">
        <v>0.68400000000000005</v>
      </c>
      <c r="O220">
        <v>0.98399999999999999</v>
      </c>
      <c r="P220" s="2">
        <f t="shared" si="7"/>
        <v>1.4546468401486989</v>
      </c>
      <c r="Q220" t="str">
        <f t="shared" si="6"/>
        <v>esferica</v>
      </c>
    </row>
    <row r="221" spans="1:17" x14ac:dyDescent="0.35">
      <c r="A221" t="s">
        <v>14</v>
      </c>
      <c r="B221">
        <v>67.805000000000007</v>
      </c>
      <c r="C221">
        <v>113.89</v>
      </c>
      <c r="D221">
        <v>132</v>
      </c>
      <c r="E221">
        <v>63</v>
      </c>
      <c r="F221">
        <v>146</v>
      </c>
      <c r="G221">
        <v>37.259</v>
      </c>
      <c r="H221">
        <v>7.2880000000000003</v>
      </c>
      <c r="I221">
        <v>11.592000000000001</v>
      </c>
      <c r="J221">
        <v>0.61399999999999999</v>
      </c>
      <c r="K221">
        <v>7722.2380000000003</v>
      </c>
      <c r="L221">
        <v>117</v>
      </c>
      <c r="M221">
        <v>1.581</v>
      </c>
      <c r="N221">
        <v>0.63200000000000001</v>
      </c>
      <c r="O221">
        <v>0.97599999999999998</v>
      </c>
      <c r="P221" s="2">
        <f t="shared" si="7"/>
        <v>1.5905598243688255</v>
      </c>
      <c r="Q221" t="str">
        <f t="shared" si="6"/>
        <v>eliptica</v>
      </c>
    </row>
    <row r="222" spans="1:17" x14ac:dyDescent="0.35">
      <c r="A222" t="s">
        <v>14</v>
      </c>
      <c r="B222">
        <v>133.43</v>
      </c>
      <c r="C222">
        <v>126.532</v>
      </c>
      <c r="D222">
        <v>143</v>
      </c>
      <c r="E222">
        <v>67</v>
      </c>
      <c r="F222">
        <v>158</v>
      </c>
      <c r="G222">
        <v>47.256999999999998</v>
      </c>
      <c r="H222">
        <v>10.858000000000001</v>
      </c>
      <c r="I222">
        <v>15.456</v>
      </c>
      <c r="J222">
        <v>0.751</v>
      </c>
      <c r="K222">
        <v>16883.100999999999</v>
      </c>
      <c r="L222">
        <v>133</v>
      </c>
      <c r="M222">
        <v>1.49</v>
      </c>
      <c r="N222">
        <v>0.67100000000000004</v>
      </c>
      <c r="O222">
        <v>0.98699999999999999</v>
      </c>
      <c r="P222" s="2">
        <f t="shared" si="7"/>
        <v>1.4234665684288081</v>
      </c>
      <c r="Q222" t="str">
        <f t="shared" si="6"/>
        <v>esferica</v>
      </c>
    </row>
    <row r="223" spans="1:17" x14ac:dyDescent="0.35">
      <c r="A223" t="s">
        <v>14</v>
      </c>
      <c r="B223">
        <v>126.313</v>
      </c>
      <c r="C223">
        <v>126.273</v>
      </c>
      <c r="D223">
        <v>152</v>
      </c>
      <c r="E223">
        <v>66</v>
      </c>
      <c r="F223">
        <v>162</v>
      </c>
      <c r="G223">
        <v>53.317</v>
      </c>
      <c r="H223">
        <v>10.32</v>
      </c>
      <c r="I223">
        <v>16.042999999999999</v>
      </c>
      <c r="J223">
        <v>0.55800000000000005</v>
      </c>
      <c r="K223">
        <v>15949.851000000001</v>
      </c>
      <c r="L223">
        <v>133</v>
      </c>
      <c r="M223">
        <v>1.54</v>
      </c>
      <c r="N223">
        <v>0.64900000000000002</v>
      </c>
      <c r="O223">
        <v>0.97599999999999998</v>
      </c>
      <c r="P223" s="2">
        <f t="shared" si="7"/>
        <v>1.5545542635658913</v>
      </c>
      <c r="Q223" t="str">
        <f t="shared" si="6"/>
        <v>eliptica</v>
      </c>
    </row>
    <row r="224" spans="1:17" x14ac:dyDescent="0.35">
      <c r="A224" t="s">
        <v>14</v>
      </c>
      <c r="B224">
        <v>113.38</v>
      </c>
      <c r="C224">
        <v>97.444000000000003</v>
      </c>
      <c r="D224">
        <v>103</v>
      </c>
      <c r="E224">
        <v>64</v>
      </c>
      <c r="F224">
        <v>126</v>
      </c>
      <c r="G224">
        <v>51.936999999999998</v>
      </c>
      <c r="H224">
        <v>10.173</v>
      </c>
      <c r="I224">
        <v>14.722</v>
      </c>
      <c r="J224">
        <v>0.52800000000000002</v>
      </c>
      <c r="K224">
        <v>11048.187</v>
      </c>
      <c r="L224">
        <v>100</v>
      </c>
      <c r="M224">
        <v>1.43</v>
      </c>
      <c r="N224">
        <v>0.69899999999999995</v>
      </c>
      <c r="O224">
        <v>0.97499999999999998</v>
      </c>
      <c r="P224" s="2">
        <f t="shared" si="7"/>
        <v>1.4471640617320358</v>
      </c>
      <c r="Q224" t="str">
        <f t="shared" si="6"/>
        <v>esferica</v>
      </c>
    </row>
    <row r="225" spans="1:17" x14ac:dyDescent="0.35">
      <c r="A225" t="s">
        <v>14</v>
      </c>
      <c r="B225">
        <v>121.045</v>
      </c>
      <c r="C225">
        <v>128.923</v>
      </c>
      <c r="D225">
        <v>150</v>
      </c>
      <c r="E225">
        <v>64</v>
      </c>
      <c r="F225">
        <v>163</v>
      </c>
      <c r="G225">
        <v>46.225999999999999</v>
      </c>
      <c r="H225">
        <v>10.858000000000001</v>
      </c>
      <c r="I225">
        <v>14.673</v>
      </c>
      <c r="J225">
        <v>0.71199999999999997</v>
      </c>
      <c r="K225">
        <v>15605.424000000001</v>
      </c>
      <c r="L225">
        <v>137</v>
      </c>
      <c r="M225">
        <v>1.482</v>
      </c>
      <c r="N225">
        <v>0.67500000000000004</v>
      </c>
      <c r="O225">
        <v>0.98299999999999998</v>
      </c>
      <c r="P225" s="2">
        <f t="shared" si="7"/>
        <v>1.3513538404862773</v>
      </c>
      <c r="Q225" t="str">
        <f t="shared" si="6"/>
        <v>esferica</v>
      </c>
    </row>
    <row r="226" spans="1:17" x14ac:dyDescent="0.35">
      <c r="A226" t="s">
        <v>14</v>
      </c>
      <c r="B226">
        <v>104.08799999999999</v>
      </c>
      <c r="C226">
        <v>125.798</v>
      </c>
      <c r="D226">
        <v>143</v>
      </c>
      <c r="E226">
        <v>59</v>
      </c>
      <c r="F226">
        <v>157</v>
      </c>
      <c r="G226">
        <v>43.484000000000002</v>
      </c>
      <c r="H226">
        <v>10.907</v>
      </c>
      <c r="I226">
        <v>14.135</v>
      </c>
      <c r="J226">
        <v>0.69199999999999995</v>
      </c>
      <c r="K226">
        <v>13094.065000000001</v>
      </c>
      <c r="L226">
        <v>132</v>
      </c>
      <c r="M226">
        <v>1.7769999999999999</v>
      </c>
      <c r="N226">
        <v>0.56299999999999994</v>
      </c>
      <c r="O226">
        <v>0.98299999999999998</v>
      </c>
      <c r="P226" s="2">
        <f t="shared" si="7"/>
        <v>1.2959567250389659</v>
      </c>
      <c r="Q226" t="str">
        <f t="shared" si="6"/>
        <v>esferica</v>
      </c>
    </row>
    <row r="227" spans="1:17" x14ac:dyDescent="0.35">
      <c r="A227" t="s">
        <v>14</v>
      </c>
      <c r="B227">
        <v>150.33099999999999</v>
      </c>
      <c r="C227">
        <v>132.892</v>
      </c>
      <c r="D227">
        <v>159</v>
      </c>
      <c r="E227">
        <v>45</v>
      </c>
      <c r="F227">
        <v>175</v>
      </c>
      <c r="G227">
        <v>60.564999999999998</v>
      </c>
      <c r="H227">
        <v>11.494</v>
      </c>
      <c r="I227">
        <v>17.460999999999999</v>
      </c>
      <c r="J227">
        <v>0.51500000000000001</v>
      </c>
      <c r="K227">
        <v>19977.742999999999</v>
      </c>
      <c r="L227">
        <v>141</v>
      </c>
      <c r="M227">
        <v>1.5649999999999999</v>
      </c>
      <c r="N227">
        <v>0.63900000000000001</v>
      </c>
      <c r="O227">
        <v>0.97399999999999998</v>
      </c>
      <c r="P227" s="2">
        <f t="shared" si="7"/>
        <v>1.5191404210892638</v>
      </c>
      <c r="Q227" t="str">
        <f t="shared" si="6"/>
        <v>eliptica</v>
      </c>
    </row>
    <row r="228" spans="1:17" x14ac:dyDescent="0.35">
      <c r="A228" t="s">
        <v>14</v>
      </c>
      <c r="B228">
        <v>136.32400000000001</v>
      </c>
      <c r="C228">
        <v>127.77500000000001</v>
      </c>
      <c r="D228">
        <v>147</v>
      </c>
      <c r="E228">
        <v>65</v>
      </c>
      <c r="F228">
        <v>161</v>
      </c>
      <c r="G228">
        <v>57.213999999999999</v>
      </c>
      <c r="H228">
        <v>10.125</v>
      </c>
      <c r="I228">
        <v>16.873999999999999</v>
      </c>
      <c r="J228">
        <v>0.52300000000000002</v>
      </c>
      <c r="K228">
        <v>17418.848999999998</v>
      </c>
      <c r="L228">
        <v>134</v>
      </c>
      <c r="M228">
        <v>1.6990000000000001</v>
      </c>
      <c r="N228">
        <v>0.58799999999999997</v>
      </c>
      <c r="O228">
        <v>0.97899999999999998</v>
      </c>
      <c r="P228" s="2">
        <f t="shared" si="7"/>
        <v>1.6665679012345678</v>
      </c>
      <c r="Q228" t="str">
        <f t="shared" si="6"/>
        <v>eliptica</v>
      </c>
    </row>
    <row r="229" spans="1:17" x14ac:dyDescent="0.35">
      <c r="A229" t="s">
        <v>14</v>
      </c>
      <c r="B229">
        <v>124.798</v>
      </c>
      <c r="C229">
        <v>134.77099999999999</v>
      </c>
      <c r="D229">
        <v>153</v>
      </c>
      <c r="E229">
        <v>68</v>
      </c>
      <c r="F229">
        <v>167</v>
      </c>
      <c r="G229">
        <v>47.098999999999997</v>
      </c>
      <c r="H229">
        <v>10.516</v>
      </c>
      <c r="I229">
        <v>14.673</v>
      </c>
      <c r="J229">
        <v>0.70699999999999996</v>
      </c>
      <c r="K229">
        <v>16819.162</v>
      </c>
      <c r="L229">
        <v>141</v>
      </c>
      <c r="M229">
        <v>1.393</v>
      </c>
      <c r="N229">
        <v>0.71799999999999997</v>
      </c>
      <c r="O229">
        <v>0.98199999999999998</v>
      </c>
      <c r="P229" s="2">
        <f t="shared" si="7"/>
        <v>1.3953023963484215</v>
      </c>
      <c r="Q229" t="str">
        <f t="shared" si="6"/>
        <v>esferica</v>
      </c>
    </row>
    <row r="230" spans="1:17" x14ac:dyDescent="0.35">
      <c r="A230" t="s">
        <v>14</v>
      </c>
      <c r="B230">
        <v>91.22</v>
      </c>
      <c r="C230">
        <v>127.479</v>
      </c>
      <c r="D230">
        <v>147</v>
      </c>
      <c r="E230">
        <v>67</v>
      </c>
      <c r="F230">
        <v>163</v>
      </c>
      <c r="G230">
        <v>42.59</v>
      </c>
      <c r="H230">
        <v>9.44</v>
      </c>
      <c r="I230">
        <v>12.815</v>
      </c>
      <c r="J230">
        <v>0.63200000000000001</v>
      </c>
      <c r="K230">
        <v>11628.637000000001</v>
      </c>
      <c r="L230">
        <v>131</v>
      </c>
      <c r="M230">
        <v>1.3779999999999999</v>
      </c>
      <c r="N230">
        <v>0.72499999999999998</v>
      </c>
      <c r="O230">
        <v>0.97099999999999997</v>
      </c>
      <c r="P230" s="2">
        <f t="shared" si="7"/>
        <v>1.357521186440678</v>
      </c>
      <c r="Q230" t="str">
        <f t="shared" si="6"/>
        <v>esferica</v>
      </c>
    </row>
    <row r="231" spans="1:17" x14ac:dyDescent="0.35">
      <c r="A231" t="s">
        <v>14</v>
      </c>
      <c r="B231">
        <v>81.5</v>
      </c>
      <c r="C231">
        <v>131.792</v>
      </c>
      <c r="D231">
        <v>153</v>
      </c>
      <c r="E231">
        <v>61</v>
      </c>
      <c r="F231">
        <v>175</v>
      </c>
      <c r="G231">
        <v>41.031999999999996</v>
      </c>
      <c r="H231">
        <v>9.44</v>
      </c>
      <c r="I231">
        <v>11.933999999999999</v>
      </c>
      <c r="J231">
        <v>0.60799999999999998</v>
      </c>
      <c r="K231">
        <v>10741.123</v>
      </c>
      <c r="L231">
        <v>140</v>
      </c>
      <c r="M231">
        <v>1.3620000000000001</v>
      </c>
      <c r="N231">
        <v>0.73399999999999999</v>
      </c>
      <c r="O231">
        <v>0.96699999999999997</v>
      </c>
      <c r="P231" s="2">
        <f t="shared" si="7"/>
        <v>1.2641949152542373</v>
      </c>
      <c r="Q231" t="str">
        <f t="shared" si="6"/>
        <v>esferica</v>
      </c>
    </row>
    <row r="232" spans="1:17" x14ac:dyDescent="0.35">
      <c r="A232" t="s">
        <v>14</v>
      </c>
      <c r="B232">
        <v>141.422</v>
      </c>
      <c r="C232">
        <v>123.76600000000001</v>
      </c>
      <c r="D232">
        <v>140</v>
      </c>
      <c r="E232">
        <v>58</v>
      </c>
      <c r="F232">
        <v>158</v>
      </c>
      <c r="G232">
        <v>55.933999999999997</v>
      </c>
      <c r="H232">
        <v>10.173</v>
      </c>
      <c r="I232">
        <v>18.536999999999999</v>
      </c>
      <c r="J232">
        <v>0.56799999999999995</v>
      </c>
      <c r="K232">
        <v>17503.275000000001</v>
      </c>
      <c r="L232">
        <v>131</v>
      </c>
      <c r="M232">
        <v>2.0099999999999998</v>
      </c>
      <c r="N232">
        <v>0.497</v>
      </c>
      <c r="O232">
        <v>0.98299999999999998</v>
      </c>
      <c r="P232" s="2">
        <f t="shared" si="7"/>
        <v>1.82217634915954</v>
      </c>
      <c r="Q232" t="str">
        <f t="shared" si="6"/>
        <v>eliptica</v>
      </c>
    </row>
    <row r="233" spans="1:17" x14ac:dyDescent="0.35">
      <c r="A233" t="s">
        <v>14</v>
      </c>
      <c r="B233">
        <v>138.339</v>
      </c>
      <c r="C233">
        <v>127.578</v>
      </c>
      <c r="D233">
        <v>145</v>
      </c>
      <c r="E233">
        <v>68</v>
      </c>
      <c r="F233">
        <v>158</v>
      </c>
      <c r="G233">
        <v>49.686999999999998</v>
      </c>
      <c r="H233">
        <v>10.808999999999999</v>
      </c>
      <c r="I233">
        <v>16.190000000000001</v>
      </c>
      <c r="J233">
        <v>0.70399999999999996</v>
      </c>
      <c r="K233">
        <v>17648.976999999999</v>
      </c>
      <c r="L233">
        <v>133</v>
      </c>
      <c r="M233">
        <v>1.5109999999999999</v>
      </c>
      <c r="N233">
        <v>0.66200000000000003</v>
      </c>
      <c r="O233">
        <v>0.98399999999999999</v>
      </c>
      <c r="P233" s="2">
        <f t="shared" si="7"/>
        <v>1.4978258858358777</v>
      </c>
      <c r="Q233" t="str">
        <f t="shared" si="6"/>
        <v>esferica</v>
      </c>
    </row>
    <row r="234" spans="1:17" x14ac:dyDescent="0.35">
      <c r="A234" t="s">
        <v>14</v>
      </c>
      <c r="B234">
        <v>75.650999999999996</v>
      </c>
      <c r="C234">
        <v>116.178</v>
      </c>
      <c r="D234">
        <v>134</v>
      </c>
      <c r="E234">
        <v>56</v>
      </c>
      <c r="F234">
        <v>146</v>
      </c>
      <c r="G234">
        <v>49.872999999999998</v>
      </c>
      <c r="H234">
        <v>8.2170000000000005</v>
      </c>
      <c r="I234">
        <v>13.206</v>
      </c>
      <c r="J234">
        <v>0.38200000000000001</v>
      </c>
      <c r="K234">
        <v>8789.0040000000008</v>
      </c>
      <c r="L234">
        <v>120</v>
      </c>
      <c r="M234">
        <v>1.5569999999999999</v>
      </c>
      <c r="N234">
        <v>0.64200000000000002</v>
      </c>
      <c r="O234">
        <v>0.93899999999999995</v>
      </c>
      <c r="P234" s="2">
        <f t="shared" si="7"/>
        <v>1.6071558963125228</v>
      </c>
      <c r="Q234" t="str">
        <f t="shared" si="6"/>
        <v>eliptica</v>
      </c>
    </row>
    <row r="235" spans="1:17" x14ac:dyDescent="0.35">
      <c r="A235" t="s">
        <v>14</v>
      </c>
      <c r="B235">
        <v>125.246</v>
      </c>
      <c r="C235">
        <v>125.371</v>
      </c>
      <c r="D235">
        <v>143</v>
      </c>
      <c r="E235">
        <v>65</v>
      </c>
      <c r="F235">
        <v>157</v>
      </c>
      <c r="G235">
        <v>49.896999999999998</v>
      </c>
      <c r="H235">
        <v>10.173</v>
      </c>
      <c r="I235">
        <v>15.162000000000001</v>
      </c>
      <c r="J235">
        <v>0.63200000000000001</v>
      </c>
      <c r="K235">
        <v>15702.210999999999</v>
      </c>
      <c r="L235">
        <v>132</v>
      </c>
      <c r="M235">
        <v>1.4870000000000001</v>
      </c>
      <c r="N235">
        <v>0.67300000000000004</v>
      </c>
      <c r="O235">
        <v>0.98099999999999998</v>
      </c>
      <c r="P235" s="2">
        <f t="shared" si="7"/>
        <v>1.4904158065467414</v>
      </c>
      <c r="Q235" t="str">
        <f t="shared" si="6"/>
        <v>esferica</v>
      </c>
    </row>
    <row r="236" spans="1:17" x14ac:dyDescent="0.35">
      <c r="A236" t="s">
        <v>14</v>
      </c>
      <c r="B236">
        <v>107.05</v>
      </c>
      <c r="C236">
        <v>126.758</v>
      </c>
      <c r="D236">
        <v>140</v>
      </c>
      <c r="E236">
        <v>67</v>
      </c>
      <c r="F236">
        <v>156</v>
      </c>
      <c r="G236">
        <v>45.633000000000003</v>
      </c>
      <c r="H236">
        <v>8.266</v>
      </c>
      <c r="I236">
        <v>16.238</v>
      </c>
      <c r="J236">
        <v>0.64600000000000002</v>
      </c>
      <c r="K236">
        <v>13569.453</v>
      </c>
      <c r="L236">
        <v>133</v>
      </c>
      <c r="M236">
        <v>1.98</v>
      </c>
      <c r="N236">
        <v>0.505</v>
      </c>
      <c r="O236">
        <v>0.98199999999999998</v>
      </c>
      <c r="P236" s="2">
        <f t="shared" si="7"/>
        <v>1.9644326155335108</v>
      </c>
      <c r="Q236" t="str">
        <f t="shared" si="6"/>
        <v>eliptica</v>
      </c>
    </row>
    <row r="237" spans="1:17" x14ac:dyDescent="0.35">
      <c r="A237" t="s">
        <v>14</v>
      </c>
      <c r="B237">
        <v>126.514</v>
      </c>
      <c r="C237">
        <v>131.99299999999999</v>
      </c>
      <c r="D237">
        <v>153</v>
      </c>
      <c r="E237">
        <v>63</v>
      </c>
      <c r="F237">
        <v>164</v>
      </c>
      <c r="G237">
        <v>50.502000000000002</v>
      </c>
      <c r="H237">
        <v>11.396000000000001</v>
      </c>
      <c r="I237">
        <v>13.989000000000001</v>
      </c>
      <c r="J237">
        <v>0.623</v>
      </c>
      <c r="K237">
        <v>16698.909</v>
      </c>
      <c r="L237">
        <v>140</v>
      </c>
      <c r="M237">
        <v>1.1919999999999999</v>
      </c>
      <c r="N237">
        <v>0.83899999999999997</v>
      </c>
      <c r="O237">
        <v>0.97199999999999998</v>
      </c>
      <c r="P237" s="2">
        <f t="shared" si="7"/>
        <v>1.2275359775359775</v>
      </c>
      <c r="Q237" t="str">
        <f t="shared" si="6"/>
        <v>esferica</v>
      </c>
    </row>
    <row r="238" spans="1:17" x14ac:dyDescent="0.35">
      <c r="A238" t="s">
        <v>14</v>
      </c>
      <c r="B238">
        <v>150.929</v>
      </c>
      <c r="C238">
        <v>135.773</v>
      </c>
      <c r="D238">
        <v>153</v>
      </c>
      <c r="E238">
        <v>64</v>
      </c>
      <c r="F238">
        <v>172</v>
      </c>
      <c r="G238">
        <v>53.268000000000001</v>
      </c>
      <c r="H238">
        <v>10.956</v>
      </c>
      <c r="I238">
        <v>16.678999999999998</v>
      </c>
      <c r="J238">
        <v>0.66800000000000004</v>
      </c>
      <c r="K238">
        <v>20492.081999999999</v>
      </c>
      <c r="L238">
        <v>142</v>
      </c>
      <c r="M238">
        <v>1.554</v>
      </c>
      <c r="N238">
        <v>0.64300000000000002</v>
      </c>
      <c r="O238">
        <v>0.98499999999999999</v>
      </c>
      <c r="P238" s="2">
        <f t="shared" si="7"/>
        <v>1.5223621759766337</v>
      </c>
      <c r="Q238" t="str">
        <f t="shared" si="6"/>
        <v>eliptica</v>
      </c>
    </row>
    <row r="239" spans="1:17" x14ac:dyDescent="0.35">
      <c r="A239" t="s">
        <v>14</v>
      </c>
      <c r="B239">
        <v>101.98099999999999</v>
      </c>
      <c r="C239">
        <v>131.28700000000001</v>
      </c>
      <c r="D239">
        <v>147</v>
      </c>
      <c r="E239">
        <v>60</v>
      </c>
      <c r="F239">
        <v>162</v>
      </c>
      <c r="G239">
        <v>40.533999999999999</v>
      </c>
      <c r="H239">
        <v>9.6839999999999993</v>
      </c>
      <c r="I239">
        <v>13.792999999999999</v>
      </c>
      <c r="J239">
        <v>0.78</v>
      </c>
      <c r="K239">
        <v>13388.704</v>
      </c>
      <c r="L239">
        <v>137</v>
      </c>
      <c r="M239">
        <v>1.429</v>
      </c>
      <c r="N239">
        <v>0.7</v>
      </c>
      <c r="O239">
        <v>0.98499999999999999</v>
      </c>
      <c r="P239" s="2">
        <f t="shared" si="7"/>
        <v>1.4243081371334159</v>
      </c>
      <c r="Q239" t="str">
        <f t="shared" si="6"/>
        <v>esferica</v>
      </c>
    </row>
    <row r="240" spans="1:17" x14ac:dyDescent="0.35">
      <c r="A240" t="s">
        <v>14</v>
      </c>
      <c r="B240">
        <v>169.678</v>
      </c>
      <c r="C240">
        <v>137.24799999999999</v>
      </c>
      <c r="D240">
        <v>159</v>
      </c>
      <c r="E240">
        <v>67</v>
      </c>
      <c r="F240">
        <v>171</v>
      </c>
      <c r="G240">
        <v>55.927</v>
      </c>
      <c r="H240">
        <v>12.326000000000001</v>
      </c>
      <c r="I240">
        <v>17.363</v>
      </c>
      <c r="J240">
        <v>0.68200000000000005</v>
      </c>
      <c r="K240">
        <v>23287.917000000001</v>
      </c>
      <c r="L240">
        <v>144</v>
      </c>
      <c r="M240">
        <v>1.4450000000000001</v>
      </c>
      <c r="N240">
        <v>0.69199999999999995</v>
      </c>
      <c r="O240">
        <v>0.98499999999999999</v>
      </c>
      <c r="P240" s="2">
        <f t="shared" si="7"/>
        <v>1.4086483855265293</v>
      </c>
      <c r="Q240" t="str">
        <f t="shared" si="6"/>
        <v>esferica</v>
      </c>
    </row>
    <row r="241" spans="1:17" x14ac:dyDescent="0.35">
      <c r="A241" t="s">
        <v>14</v>
      </c>
      <c r="B241">
        <v>98.052999999999997</v>
      </c>
      <c r="C241">
        <v>127.789</v>
      </c>
      <c r="D241">
        <v>143</v>
      </c>
      <c r="E241">
        <v>68</v>
      </c>
      <c r="F241">
        <v>157</v>
      </c>
      <c r="G241">
        <v>41.316000000000003</v>
      </c>
      <c r="H241">
        <v>9.6349999999999998</v>
      </c>
      <c r="I241">
        <v>13.206</v>
      </c>
      <c r="J241">
        <v>0.72199999999999998</v>
      </c>
      <c r="K241">
        <v>12530.072</v>
      </c>
      <c r="L241">
        <v>135</v>
      </c>
      <c r="M241">
        <v>1.395</v>
      </c>
      <c r="N241">
        <v>0.71699999999999997</v>
      </c>
      <c r="O241">
        <v>0.98399999999999999</v>
      </c>
      <c r="P241" s="2">
        <f t="shared" si="7"/>
        <v>1.3706279190451478</v>
      </c>
      <c r="Q241" t="str">
        <f t="shared" si="6"/>
        <v>esferica</v>
      </c>
    </row>
    <row r="242" spans="1:17" x14ac:dyDescent="0.35">
      <c r="A242" t="s">
        <v>14</v>
      </c>
      <c r="B242">
        <v>112.68899999999999</v>
      </c>
      <c r="C242">
        <v>124.718</v>
      </c>
      <c r="D242">
        <v>138</v>
      </c>
      <c r="E242">
        <v>62</v>
      </c>
      <c r="F242">
        <v>153</v>
      </c>
      <c r="G242">
        <v>45.857999999999997</v>
      </c>
      <c r="H242">
        <v>10.663</v>
      </c>
      <c r="I242">
        <v>14.478</v>
      </c>
      <c r="J242">
        <v>0.67300000000000004</v>
      </c>
      <c r="K242">
        <v>14054.273999999999</v>
      </c>
      <c r="L242">
        <v>131</v>
      </c>
      <c r="M242">
        <v>1.603</v>
      </c>
      <c r="N242">
        <v>0.624</v>
      </c>
      <c r="O242">
        <v>0.98099999999999998</v>
      </c>
      <c r="P242" s="2">
        <f t="shared" si="7"/>
        <v>1.3577792366125856</v>
      </c>
      <c r="Q242" t="str">
        <f t="shared" si="6"/>
        <v>esferica</v>
      </c>
    </row>
    <row r="243" spans="1:17" x14ac:dyDescent="0.35">
      <c r="A243" t="s">
        <v>14</v>
      </c>
      <c r="B243">
        <v>91.313999999999993</v>
      </c>
      <c r="C243">
        <v>118.631</v>
      </c>
      <c r="D243">
        <v>140</v>
      </c>
      <c r="E243">
        <v>60</v>
      </c>
      <c r="F243">
        <v>154</v>
      </c>
      <c r="G243">
        <v>43.716000000000001</v>
      </c>
      <c r="H243">
        <v>8.5109999999999992</v>
      </c>
      <c r="I243">
        <v>14.086</v>
      </c>
      <c r="J243">
        <v>0.6</v>
      </c>
      <c r="K243">
        <v>10832.620999999999</v>
      </c>
      <c r="L243">
        <v>122</v>
      </c>
      <c r="M243">
        <v>1.643</v>
      </c>
      <c r="N243">
        <v>0.60899999999999999</v>
      </c>
      <c r="O243">
        <v>0.97399999999999998</v>
      </c>
      <c r="P243" s="2">
        <f t="shared" si="7"/>
        <v>1.6550346610269064</v>
      </c>
      <c r="Q243" t="str">
        <f t="shared" si="6"/>
        <v>eliptica</v>
      </c>
    </row>
    <row r="244" spans="1:17" x14ac:dyDescent="0.35">
      <c r="A244" t="s">
        <v>14</v>
      </c>
      <c r="B244">
        <v>114.748</v>
      </c>
      <c r="C244">
        <v>118.33199999999999</v>
      </c>
      <c r="D244">
        <v>132</v>
      </c>
      <c r="E244">
        <v>67</v>
      </c>
      <c r="F244">
        <v>147</v>
      </c>
      <c r="G244">
        <v>49.917999999999999</v>
      </c>
      <c r="H244">
        <v>8.6080000000000005</v>
      </c>
      <c r="I244">
        <v>16.238</v>
      </c>
      <c r="J244">
        <v>0.57899999999999996</v>
      </c>
      <c r="K244">
        <v>13578.386</v>
      </c>
      <c r="L244">
        <v>124</v>
      </c>
      <c r="M244">
        <v>1.8939999999999999</v>
      </c>
      <c r="N244">
        <v>0.52800000000000002</v>
      </c>
      <c r="O244">
        <v>0.98</v>
      </c>
      <c r="P244" s="2">
        <f t="shared" si="7"/>
        <v>1.8863847583643121</v>
      </c>
      <c r="Q244" t="str">
        <f t="shared" si="6"/>
        <v>eliptica</v>
      </c>
    </row>
    <row r="245" spans="1:17" x14ac:dyDescent="0.35">
      <c r="A245" t="s">
        <v>14</v>
      </c>
      <c r="B245">
        <v>110.619</v>
      </c>
      <c r="C245">
        <v>120.367</v>
      </c>
      <c r="D245">
        <v>140</v>
      </c>
      <c r="E245">
        <v>65</v>
      </c>
      <c r="F245">
        <v>159</v>
      </c>
      <c r="G245">
        <v>46.29</v>
      </c>
      <c r="H245">
        <v>9.8309999999999995</v>
      </c>
      <c r="I245">
        <v>15.016</v>
      </c>
      <c r="J245">
        <v>0.64900000000000002</v>
      </c>
      <c r="K245">
        <v>13314.856</v>
      </c>
      <c r="L245">
        <v>127</v>
      </c>
      <c r="M245">
        <v>1.7729999999999999</v>
      </c>
      <c r="N245">
        <v>0.56399999999999995</v>
      </c>
      <c r="O245">
        <v>0.98199999999999998</v>
      </c>
      <c r="P245" s="2">
        <f t="shared" si="7"/>
        <v>1.5274132845081885</v>
      </c>
      <c r="Q245" t="str">
        <f t="shared" si="6"/>
        <v>eliptica</v>
      </c>
    </row>
    <row r="246" spans="1:17" x14ac:dyDescent="0.35">
      <c r="A246" t="s">
        <v>14</v>
      </c>
      <c r="B246">
        <v>66.816999999999993</v>
      </c>
      <c r="C246">
        <v>113.703</v>
      </c>
      <c r="D246">
        <v>128</v>
      </c>
      <c r="E246">
        <v>67</v>
      </c>
      <c r="F246">
        <v>139</v>
      </c>
      <c r="G246">
        <v>34.536999999999999</v>
      </c>
      <c r="H246">
        <v>7.9240000000000004</v>
      </c>
      <c r="I246">
        <v>10.808999999999999</v>
      </c>
      <c r="J246">
        <v>0.70399999999999996</v>
      </c>
      <c r="K246">
        <v>7597.27</v>
      </c>
      <c r="L246">
        <v>119</v>
      </c>
      <c r="M246">
        <v>1.385</v>
      </c>
      <c r="N246">
        <v>0.72199999999999998</v>
      </c>
      <c r="O246">
        <v>0.97799999999999998</v>
      </c>
      <c r="P246" s="2">
        <f t="shared" si="7"/>
        <v>1.3640837960625944</v>
      </c>
      <c r="Q246" t="str">
        <f t="shared" si="6"/>
        <v>esferica</v>
      </c>
    </row>
    <row r="247" spans="1:17" x14ac:dyDescent="0.35">
      <c r="A247" t="s">
        <v>14</v>
      </c>
      <c r="B247">
        <v>137.99700000000001</v>
      </c>
      <c r="C247">
        <v>111.988</v>
      </c>
      <c r="D247">
        <v>124</v>
      </c>
      <c r="E247">
        <v>65</v>
      </c>
      <c r="F247">
        <v>141</v>
      </c>
      <c r="G247">
        <v>54.613999999999997</v>
      </c>
      <c r="H247">
        <v>10.808999999999999</v>
      </c>
      <c r="I247">
        <v>16.434000000000001</v>
      </c>
      <c r="J247">
        <v>0.58099999999999996</v>
      </c>
      <c r="K247">
        <v>15453.962</v>
      </c>
      <c r="L247">
        <v>116</v>
      </c>
      <c r="M247">
        <v>1.4870000000000001</v>
      </c>
      <c r="N247">
        <v>0.67200000000000004</v>
      </c>
      <c r="O247">
        <v>0.97899999999999998</v>
      </c>
      <c r="P247" s="2">
        <f t="shared" si="7"/>
        <v>1.5203996669442132</v>
      </c>
      <c r="Q247" t="str">
        <f t="shared" si="6"/>
        <v>eliptica</v>
      </c>
    </row>
    <row r="248" spans="1:17" x14ac:dyDescent="0.35">
      <c r="A248" t="s">
        <v>14</v>
      </c>
      <c r="B248">
        <v>127.82899999999999</v>
      </c>
      <c r="C248">
        <v>123.798</v>
      </c>
      <c r="D248">
        <v>140</v>
      </c>
      <c r="E248">
        <v>66</v>
      </c>
      <c r="F248">
        <v>153</v>
      </c>
      <c r="G248">
        <v>54.97</v>
      </c>
      <c r="H248">
        <v>9.1460000000000008</v>
      </c>
      <c r="I248">
        <v>17.167999999999999</v>
      </c>
      <c r="J248">
        <v>0.53200000000000003</v>
      </c>
      <c r="K248">
        <v>15824.986000000001</v>
      </c>
      <c r="L248">
        <v>130</v>
      </c>
      <c r="M248">
        <v>1.903</v>
      </c>
      <c r="N248">
        <v>0.52600000000000002</v>
      </c>
      <c r="O248">
        <v>0.97799999999999998</v>
      </c>
      <c r="P248" s="2">
        <f t="shared" si="7"/>
        <v>1.8771047452438221</v>
      </c>
      <c r="Q248" t="str">
        <f t="shared" si="6"/>
        <v>eliptica</v>
      </c>
    </row>
    <row r="249" spans="1:17" x14ac:dyDescent="0.35">
      <c r="A249" t="s">
        <v>14</v>
      </c>
      <c r="B249">
        <v>134.52099999999999</v>
      </c>
      <c r="C249">
        <v>128.048</v>
      </c>
      <c r="D249">
        <v>140</v>
      </c>
      <c r="E249">
        <v>64</v>
      </c>
      <c r="F249">
        <v>161</v>
      </c>
      <c r="G249">
        <v>49.713999999999999</v>
      </c>
      <c r="H249">
        <v>10.712</v>
      </c>
      <c r="I249">
        <v>15.308999999999999</v>
      </c>
      <c r="J249">
        <v>0.68400000000000005</v>
      </c>
      <c r="K249">
        <v>17225.151999999998</v>
      </c>
      <c r="L249">
        <v>135</v>
      </c>
      <c r="M249">
        <v>1.454</v>
      </c>
      <c r="N249">
        <v>0.68799999999999994</v>
      </c>
      <c r="O249">
        <v>0.98099999999999998</v>
      </c>
      <c r="P249" s="2">
        <f t="shared" si="7"/>
        <v>1.4291448842419716</v>
      </c>
      <c r="Q249" t="str">
        <f t="shared" si="6"/>
        <v>esferica</v>
      </c>
    </row>
    <row r="250" spans="1:17" x14ac:dyDescent="0.35">
      <c r="A250" t="s">
        <v>14</v>
      </c>
      <c r="B250">
        <v>82.933000000000007</v>
      </c>
      <c r="C250">
        <v>128.73699999999999</v>
      </c>
      <c r="D250">
        <v>153</v>
      </c>
      <c r="E250">
        <v>65</v>
      </c>
      <c r="F250">
        <v>166</v>
      </c>
      <c r="G250">
        <v>37.036999999999999</v>
      </c>
      <c r="H250">
        <v>9.1950000000000003</v>
      </c>
      <c r="I250">
        <v>11.445</v>
      </c>
      <c r="J250">
        <v>0.76</v>
      </c>
      <c r="K250">
        <v>10676.558000000001</v>
      </c>
      <c r="L250">
        <v>135</v>
      </c>
      <c r="M250">
        <v>1.2549999999999999</v>
      </c>
      <c r="N250">
        <v>0.79700000000000004</v>
      </c>
      <c r="O250">
        <v>0.98099999999999998</v>
      </c>
      <c r="P250" s="2">
        <f t="shared" si="7"/>
        <v>1.2446982055464926</v>
      </c>
      <c r="Q250" t="str">
        <f t="shared" si="6"/>
        <v>esferica</v>
      </c>
    </row>
    <row r="251" spans="1:17" x14ac:dyDescent="0.35">
      <c r="A251" t="s">
        <v>14</v>
      </c>
      <c r="B251">
        <v>133.84800000000001</v>
      </c>
      <c r="C251">
        <v>113.121</v>
      </c>
      <c r="D251">
        <v>128</v>
      </c>
      <c r="E251">
        <v>65</v>
      </c>
      <c r="F251">
        <v>142</v>
      </c>
      <c r="G251">
        <v>55.162999999999997</v>
      </c>
      <c r="H251">
        <v>10.369</v>
      </c>
      <c r="I251">
        <v>16.434000000000001</v>
      </c>
      <c r="J251">
        <v>0.55300000000000005</v>
      </c>
      <c r="K251">
        <v>15141.065000000001</v>
      </c>
      <c r="L251">
        <v>117</v>
      </c>
      <c r="M251">
        <v>1.5820000000000001</v>
      </c>
      <c r="N251">
        <v>0.63200000000000001</v>
      </c>
      <c r="O251">
        <v>0.97599999999999998</v>
      </c>
      <c r="P251" s="2">
        <f t="shared" si="7"/>
        <v>1.5849165782621277</v>
      </c>
      <c r="Q251" t="str">
        <f t="shared" si="6"/>
        <v>eliptica</v>
      </c>
    </row>
    <row r="252" spans="1:17" x14ac:dyDescent="0.35">
      <c r="A252" t="s">
        <v>14</v>
      </c>
      <c r="B252">
        <v>136.34399999999999</v>
      </c>
      <c r="C252">
        <v>141.30500000000001</v>
      </c>
      <c r="D252">
        <v>162</v>
      </c>
      <c r="E252">
        <v>67</v>
      </c>
      <c r="F252">
        <v>173</v>
      </c>
      <c r="G252">
        <v>46.279000000000003</v>
      </c>
      <c r="H252">
        <v>11.396000000000001</v>
      </c>
      <c r="I252">
        <v>15.211</v>
      </c>
      <c r="J252">
        <v>0.8</v>
      </c>
      <c r="K252">
        <v>19266.052</v>
      </c>
      <c r="L252">
        <v>148</v>
      </c>
      <c r="M252">
        <v>1.331</v>
      </c>
      <c r="N252">
        <v>0.751</v>
      </c>
      <c r="O252">
        <v>0.98699999999999999</v>
      </c>
      <c r="P252" s="2">
        <f t="shared" si="7"/>
        <v>1.3347665847665846</v>
      </c>
      <c r="Q252" t="str">
        <f t="shared" si="6"/>
        <v>esferica</v>
      </c>
    </row>
    <row r="253" spans="1:17" x14ac:dyDescent="0.35">
      <c r="A253" t="s">
        <v>14</v>
      </c>
      <c r="B253">
        <v>110.44199999999999</v>
      </c>
      <c r="C253">
        <v>118.10299999999999</v>
      </c>
      <c r="D253">
        <v>134</v>
      </c>
      <c r="E253">
        <v>64</v>
      </c>
      <c r="F253">
        <v>150</v>
      </c>
      <c r="G253">
        <v>45.585999999999999</v>
      </c>
      <c r="H253">
        <v>11.054</v>
      </c>
      <c r="I253">
        <v>13.792999999999999</v>
      </c>
      <c r="J253">
        <v>0.66800000000000004</v>
      </c>
      <c r="K253">
        <v>13043.611999999999</v>
      </c>
      <c r="L253">
        <v>123</v>
      </c>
      <c r="M253">
        <v>1.452</v>
      </c>
      <c r="N253">
        <v>0.68899999999999995</v>
      </c>
      <c r="O253">
        <v>0.98</v>
      </c>
      <c r="P253" s="2">
        <f t="shared" si="7"/>
        <v>1.2477836077438031</v>
      </c>
      <c r="Q253" t="str">
        <f t="shared" si="6"/>
        <v>esferica</v>
      </c>
    </row>
    <row r="254" spans="1:17" x14ac:dyDescent="0.35">
      <c r="A254" t="s">
        <v>14</v>
      </c>
      <c r="B254">
        <v>96.222999999999999</v>
      </c>
      <c r="C254">
        <v>124.01600000000001</v>
      </c>
      <c r="D254">
        <v>141</v>
      </c>
      <c r="E254">
        <v>66</v>
      </c>
      <c r="F254">
        <v>180</v>
      </c>
      <c r="G254">
        <v>43.808</v>
      </c>
      <c r="H254">
        <v>9.2439999999999998</v>
      </c>
      <c r="I254">
        <v>14.331</v>
      </c>
      <c r="J254">
        <v>0.63</v>
      </c>
      <c r="K254">
        <v>11933.118</v>
      </c>
      <c r="L254">
        <v>129</v>
      </c>
      <c r="M254">
        <v>1.754</v>
      </c>
      <c r="N254">
        <v>0.56999999999999995</v>
      </c>
      <c r="O254">
        <v>0.98199999999999998</v>
      </c>
      <c r="P254" s="2">
        <f t="shared" si="7"/>
        <v>1.5503028991778451</v>
      </c>
      <c r="Q254" t="str">
        <f t="shared" si="6"/>
        <v>eliptica</v>
      </c>
    </row>
    <row r="255" spans="1:17" x14ac:dyDescent="0.35">
      <c r="A255" t="s">
        <v>14</v>
      </c>
      <c r="B255">
        <v>118.19799999999999</v>
      </c>
      <c r="C255">
        <v>125.80800000000001</v>
      </c>
      <c r="D255">
        <v>147</v>
      </c>
      <c r="E255">
        <v>62</v>
      </c>
      <c r="F255">
        <v>158</v>
      </c>
      <c r="G255">
        <v>46.76</v>
      </c>
      <c r="H255">
        <v>9.8309999999999995</v>
      </c>
      <c r="I255">
        <v>15.162000000000001</v>
      </c>
      <c r="J255">
        <v>0.67900000000000005</v>
      </c>
      <c r="K255">
        <v>14870.306</v>
      </c>
      <c r="L255">
        <v>131</v>
      </c>
      <c r="M255">
        <v>1.5529999999999999</v>
      </c>
      <c r="N255">
        <v>0.64400000000000002</v>
      </c>
      <c r="O255">
        <v>0.98299999999999998</v>
      </c>
      <c r="P255" s="2">
        <f t="shared" si="7"/>
        <v>1.54226426609704</v>
      </c>
      <c r="Q255" t="str">
        <f t="shared" si="6"/>
        <v>eliptica</v>
      </c>
    </row>
    <row r="256" spans="1:17" x14ac:dyDescent="0.35">
      <c r="A256" t="s">
        <v>14</v>
      </c>
      <c r="B256">
        <v>151.96</v>
      </c>
      <c r="C256">
        <v>130.12100000000001</v>
      </c>
      <c r="D256">
        <v>159</v>
      </c>
      <c r="E256">
        <v>64</v>
      </c>
      <c r="F256">
        <v>171</v>
      </c>
      <c r="G256">
        <v>56.744999999999997</v>
      </c>
      <c r="H256">
        <v>10.858000000000001</v>
      </c>
      <c r="I256">
        <v>18.097000000000001</v>
      </c>
      <c r="J256">
        <v>0.59299999999999997</v>
      </c>
      <c r="K256">
        <v>19773.170999999998</v>
      </c>
      <c r="L256">
        <v>136</v>
      </c>
      <c r="M256">
        <v>1.72</v>
      </c>
      <c r="N256">
        <v>0.58099999999999996</v>
      </c>
      <c r="O256">
        <v>0.97899999999999998</v>
      </c>
      <c r="P256" s="2">
        <f t="shared" si="7"/>
        <v>1.6666973659974214</v>
      </c>
      <c r="Q256" t="str">
        <f t="shared" si="6"/>
        <v>eliptica</v>
      </c>
    </row>
    <row r="257" spans="1:17" x14ac:dyDescent="0.35">
      <c r="A257" t="s">
        <v>14</v>
      </c>
      <c r="B257">
        <v>113.593</v>
      </c>
      <c r="C257">
        <v>143.15899999999999</v>
      </c>
      <c r="D257">
        <v>161</v>
      </c>
      <c r="E257">
        <v>65</v>
      </c>
      <c r="F257">
        <v>177</v>
      </c>
      <c r="G257">
        <v>45.481999999999999</v>
      </c>
      <c r="H257">
        <v>9.44</v>
      </c>
      <c r="I257">
        <v>15.798</v>
      </c>
      <c r="J257">
        <v>0.69</v>
      </c>
      <c r="K257">
        <v>16261.796</v>
      </c>
      <c r="L257">
        <v>149</v>
      </c>
      <c r="M257">
        <v>1.62</v>
      </c>
      <c r="N257">
        <v>0.61699999999999999</v>
      </c>
      <c r="O257">
        <v>0.97899999999999998</v>
      </c>
      <c r="P257" s="2">
        <f t="shared" si="7"/>
        <v>1.6735169491525426</v>
      </c>
      <c r="Q257" t="str">
        <f t="shared" si="6"/>
        <v>eliptica</v>
      </c>
    </row>
    <row r="258" spans="1:17" x14ac:dyDescent="0.35">
      <c r="A258" t="s">
        <v>14</v>
      </c>
      <c r="B258">
        <v>82.185000000000002</v>
      </c>
      <c r="C258">
        <v>114.035</v>
      </c>
      <c r="D258">
        <v>123</v>
      </c>
      <c r="E258">
        <v>65</v>
      </c>
      <c r="F258">
        <v>145</v>
      </c>
      <c r="G258">
        <v>40.387999999999998</v>
      </c>
      <c r="H258">
        <v>8.7550000000000008</v>
      </c>
      <c r="I258">
        <v>12.081</v>
      </c>
      <c r="J258">
        <v>0.63300000000000001</v>
      </c>
      <c r="K258">
        <v>9371.93</v>
      </c>
      <c r="L258">
        <v>118</v>
      </c>
      <c r="M258">
        <v>1.39</v>
      </c>
      <c r="N258">
        <v>0.71899999999999997</v>
      </c>
      <c r="O258">
        <v>0.97499999999999998</v>
      </c>
      <c r="P258" s="2">
        <f t="shared" si="7"/>
        <v>1.379897201599086</v>
      </c>
      <c r="Q258" t="str">
        <f t="shared" ref="Q258:Q321" si="8">IF(P258&lt;1,"ovoide",IF(P258&lt;1.5,"esferica",IF(P258&lt;2,"eliptica","alongada")))</f>
        <v>esferica</v>
      </c>
    </row>
    <row r="259" spans="1:17" x14ac:dyDescent="0.35">
      <c r="A259" t="s">
        <v>14</v>
      </c>
      <c r="B259">
        <v>91.951999999999998</v>
      </c>
      <c r="C259">
        <v>128.93799999999999</v>
      </c>
      <c r="D259">
        <v>143</v>
      </c>
      <c r="E259">
        <v>69</v>
      </c>
      <c r="F259">
        <v>157</v>
      </c>
      <c r="G259">
        <v>38.494999999999997</v>
      </c>
      <c r="H259">
        <v>9.44</v>
      </c>
      <c r="I259">
        <v>12.032</v>
      </c>
      <c r="J259">
        <v>0.78</v>
      </c>
      <c r="K259">
        <v>11856.132</v>
      </c>
      <c r="L259">
        <v>134</v>
      </c>
      <c r="M259">
        <v>1.278</v>
      </c>
      <c r="N259">
        <v>0.78300000000000003</v>
      </c>
      <c r="O259">
        <v>0.98399999999999999</v>
      </c>
      <c r="P259" s="2">
        <f t="shared" ref="P259:P322" si="9">I259/H259</f>
        <v>1.2745762711864408</v>
      </c>
      <c r="Q259" t="str">
        <f t="shared" si="8"/>
        <v>esferica</v>
      </c>
    </row>
    <row r="260" spans="1:17" x14ac:dyDescent="0.35">
      <c r="A260" t="s">
        <v>14</v>
      </c>
      <c r="B260">
        <v>131.04499999999999</v>
      </c>
      <c r="C260">
        <v>134.06299999999999</v>
      </c>
      <c r="D260">
        <v>157</v>
      </c>
      <c r="E260">
        <v>58</v>
      </c>
      <c r="F260">
        <v>170</v>
      </c>
      <c r="G260">
        <v>49.170999999999999</v>
      </c>
      <c r="H260">
        <v>12.179</v>
      </c>
      <c r="I260">
        <v>14.282</v>
      </c>
      <c r="J260">
        <v>0.68100000000000005</v>
      </c>
      <c r="K260">
        <v>17568.235000000001</v>
      </c>
      <c r="L260">
        <v>143</v>
      </c>
      <c r="M260">
        <v>1.1679999999999999</v>
      </c>
      <c r="N260">
        <v>0.85599999999999998</v>
      </c>
      <c r="O260">
        <v>0.98299999999999998</v>
      </c>
      <c r="P260" s="2">
        <f t="shared" si="9"/>
        <v>1.1726742753920683</v>
      </c>
      <c r="Q260" t="str">
        <f t="shared" si="8"/>
        <v>esferica</v>
      </c>
    </row>
    <row r="261" spans="1:17" x14ac:dyDescent="0.35">
      <c r="A261" t="s">
        <v>14</v>
      </c>
      <c r="B261">
        <v>131.506</v>
      </c>
      <c r="C261">
        <v>123.164</v>
      </c>
      <c r="D261">
        <v>143</v>
      </c>
      <c r="E261">
        <v>64</v>
      </c>
      <c r="F261">
        <v>157</v>
      </c>
      <c r="G261">
        <v>50.488999999999997</v>
      </c>
      <c r="H261">
        <v>11.005000000000001</v>
      </c>
      <c r="I261">
        <v>15.211</v>
      </c>
      <c r="J261">
        <v>0.64800000000000002</v>
      </c>
      <c r="K261">
        <v>16196.893</v>
      </c>
      <c r="L261">
        <v>132</v>
      </c>
      <c r="M261">
        <v>1.407</v>
      </c>
      <c r="N261">
        <v>0.71099999999999997</v>
      </c>
      <c r="O261">
        <v>0.98299999999999998</v>
      </c>
      <c r="P261" s="2">
        <f t="shared" si="9"/>
        <v>1.382189913675602</v>
      </c>
      <c r="Q261" t="str">
        <f t="shared" si="8"/>
        <v>esferica</v>
      </c>
    </row>
    <row r="262" spans="1:17" x14ac:dyDescent="0.35">
      <c r="A262" t="s">
        <v>14</v>
      </c>
      <c r="B262">
        <v>141.03200000000001</v>
      </c>
      <c r="C262">
        <v>129.148</v>
      </c>
      <c r="D262">
        <v>143</v>
      </c>
      <c r="E262">
        <v>63</v>
      </c>
      <c r="F262">
        <v>174</v>
      </c>
      <c r="G262">
        <v>50.558999999999997</v>
      </c>
      <c r="H262">
        <v>10.173</v>
      </c>
      <c r="I262">
        <v>17.608000000000001</v>
      </c>
      <c r="J262">
        <v>0.69299999999999995</v>
      </c>
      <c r="K262">
        <v>18214.054</v>
      </c>
      <c r="L262">
        <v>134</v>
      </c>
      <c r="M262">
        <v>1.821</v>
      </c>
      <c r="N262">
        <v>0.54900000000000004</v>
      </c>
      <c r="O262">
        <v>0.98599999999999999</v>
      </c>
      <c r="P262" s="2">
        <f t="shared" si="9"/>
        <v>1.7308561879484912</v>
      </c>
      <c r="Q262" t="str">
        <f t="shared" si="8"/>
        <v>eliptica</v>
      </c>
    </row>
    <row r="263" spans="1:17" x14ac:dyDescent="0.35">
      <c r="A263" t="s">
        <v>14</v>
      </c>
      <c r="B263">
        <v>104.301</v>
      </c>
      <c r="C263">
        <v>127.322</v>
      </c>
      <c r="D263">
        <v>143</v>
      </c>
      <c r="E263">
        <v>65</v>
      </c>
      <c r="F263">
        <v>157</v>
      </c>
      <c r="G263">
        <v>43.716999999999999</v>
      </c>
      <c r="H263">
        <v>8.7550000000000008</v>
      </c>
      <c r="I263">
        <v>14.771000000000001</v>
      </c>
      <c r="J263">
        <v>0.68600000000000005</v>
      </c>
      <c r="K263">
        <v>13279.797</v>
      </c>
      <c r="L263">
        <v>133</v>
      </c>
      <c r="M263">
        <v>1.698</v>
      </c>
      <c r="N263">
        <v>0.58899999999999997</v>
      </c>
      <c r="O263">
        <v>0.98199999999999998</v>
      </c>
      <c r="P263" s="2">
        <f t="shared" si="9"/>
        <v>1.6871501998857794</v>
      </c>
      <c r="Q263" t="str">
        <f t="shared" si="8"/>
        <v>eliptica</v>
      </c>
    </row>
    <row r="264" spans="1:17" x14ac:dyDescent="0.35">
      <c r="A264" t="s">
        <v>14</v>
      </c>
      <c r="B264">
        <v>117.499</v>
      </c>
      <c r="C264">
        <v>93.956999999999994</v>
      </c>
      <c r="D264">
        <v>102</v>
      </c>
      <c r="E264">
        <v>61</v>
      </c>
      <c r="F264">
        <v>123</v>
      </c>
      <c r="G264">
        <v>67.046000000000006</v>
      </c>
      <c r="H264">
        <v>9.2929999999999993</v>
      </c>
      <c r="I264">
        <v>16.873999999999999</v>
      </c>
      <c r="J264">
        <v>0.32800000000000001</v>
      </c>
      <c r="K264">
        <v>11039.912</v>
      </c>
      <c r="L264">
        <v>96</v>
      </c>
      <c r="M264">
        <v>1.776</v>
      </c>
      <c r="N264">
        <v>0.56299999999999994</v>
      </c>
      <c r="O264">
        <v>0.95899999999999996</v>
      </c>
      <c r="P264" s="2">
        <f t="shared" si="9"/>
        <v>1.81577531475304</v>
      </c>
      <c r="Q264" t="str">
        <f t="shared" si="8"/>
        <v>eliptica</v>
      </c>
    </row>
    <row r="265" spans="1:17" x14ac:dyDescent="0.35">
      <c r="A265" t="s">
        <v>14</v>
      </c>
      <c r="B265">
        <v>115.32299999999999</v>
      </c>
      <c r="C265">
        <v>130.86199999999999</v>
      </c>
      <c r="D265">
        <v>149</v>
      </c>
      <c r="E265">
        <v>63</v>
      </c>
      <c r="F265">
        <v>162</v>
      </c>
      <c r="G265">
        <v>54.374000000000002</v>
      </c>
      <c r="H265">
        <v>9.6839999999999993</v>
      </c>
      <c r="I265">
        <v>15.798</v>
      </c>
      <c r="J265">
        <v>0.49</v>
      </c>
      <c r="K265">
        <v>15091.305</v>
      </c>
      <c r="L265">
        <v>137</v>
      </c>
      <c r="M265">
        <v>1.6279999999999999</v>
      </c>
      <c r="N265">
        <v>0.61399999999999999</v>
      </c>
      <c r="O265">
        <v>0.96799999999999997</v>
      </c>
      <c r="P265" s="2">
        <f t="shared" si="9"/>
        <v>1.6313506815365553</v>
      </c>
      <c r="Q265" t="str">
        <f t="shared" si="8"/>
        <v>eliptica</v>
      </c>
    </row>
    <row r="266" spans="1:17" x14ac:dyDescent="0.35">
      <c r="A266" t="s">
        <v>14</v>
      </c>
      <c r="B266">
        <v>119.899</v>
      </c>
      <c r="C266">
        <v>123.499</v>
      </c>
      <c r="D266">
        <v>137</v>
      </c>
      <c r="E266">
        <v>65</v>
      </c>
      <c r="F266">
        <v>158</v>
      </c>
      <c r="G266">
        <v>51.073</v>
      </c>
      <c r="H266">
        <v>10.222</v>
      </c>
      <c r="I266">
        <v>14.722</v>
      </c>
      <c r="J266">
        <v>0.57799999999999996</v>
      </c>
      <c r="K266">
        <v>14807.384</v>
      </c>
      <c r="L266">
        <v>129</v>
      </c>
      <c r="M266">
        <v>1.52</v>
      </c>
      <c r="N266">
        <v>0.65800000000000003</v>
      </c>
      <c r="O266">
        <v>0.98099999999999998</v>
      </c>
      <c r="P266" s="2">
        <f t="shared" si="9"/>
        <v>1.4402269614556837</v>
      </c>
      <c r="Q266" t="str">
        <f t="shared" si="8"/>
        <v>esferica</v>
      </c>
    </row>
    <row r="267" spans="1:17" x14ac:dyDescent="0.35">
      <c r="A267" t="s">
        <v>14</v>
      </c>
      <c r="B267">
        <v>165.49600000000001</v>
      </c>
      <c r="C267">
        <v>126.4</v>
      </c>
      <c r="D267">
        <v>146</v>
      </c>
      <c r="E267">
        <v>65</v>
      </c>
      <c r="F267">
        <v>158</v>
      </c>
      <c r="G267">
        <v>57.625999999999998</v>
      </c>
      <c r="H267">
        <v>11.005000000000001</v>
      </c>
      <c r="I267">
        <v>19.466999999999999</v>
      </c>
      <c r="J267">
        <v>0.626</v>
      </c>
      <c r="K267">
        <v>20918.607</v>
      </c>
      <c r="L267">
        <v>131</v>
      </c>
      <c r="M267">
        <v>1.9059999999999999</v>
      </c>
      <c r="N267">
        <v>0.52500000000000002</v>
      </c>
      <c r="O267">
        <v>0.98499999999999999</v>
      </c>
      <c r="P267" s="2">
        <f t="shared" si="9"/>
        <v>1.7689232167196727</v>
      </c>
      <c r="Q267" t="str">
        <f t="shared" si="8"/>
        <v>eliptica</v>
      </c>
    </row>
    <row r="268" spans="1:17" x14ac:dyDescent="0.35">
      <c r="A268" t="s">
        <v>14</v>
      </c>
      <c r="B268">
        <v>170.43100000000001</v>
      </c>
      <c r="C268">
        <v>140.46299999999999</v>
      </c>
      <c r="D268">
        <v>161</v>
      </c>
      <c r="E268">
        <v>64</v>
      </c>
      <c r="F268">
        <v>174</v>
      </c>
      <c r="G268">
        <v>56.447000000000003</v>
      </c>
      <c r="H268">
        <v>14.183999999999999</v>
      </c>
      <c r="I268">
        <v>17.853000000000002</v>
      </c>
      <c r="J268">
        <v>0.67200000000000004</v>
      </c>
      <c r="K268">
        <v>23939.238000000001</v>
      </c>
      <c r="L268">
        <v>149</v>
      </c>
      <c r="M268">
        <v>1.718</v>
      </c>
      <c r="N268">
        <v>0.58199999999999996</v>
      </c>
      <c r="O268">
        <v>0.98399999999999999</v>
      </c>
      <c r="P268" s="2">
        <f t="shared" si="9"/>
        <v>1.2586717428087988</v>
      </c>
      <c r="Q268" t="str">
        <f t="shared" si="8"/>
        <v>esferica</v>
      </c>
    </row>
    <row r="269" spans="1:17" x14ac:dyDescent="0.35">
      <c r="A269" t="s">
        <v>14</v>
      </c>
      <c r="B269">
        <v>94.236999999999995</v>
      </c>
      <c r="C269">
        <v>99.186999999999998</v>
      </c>
      <c r="D269">
        <v>102</v>
      </c>
      <c r="E269">
        <v>63</v>
      </c>
      <c r="F269">
        <v>129</v>
      </c>
      <c r="G269">
        <v>46.555999999999997</v>
      </c>
      <c r="H269">
        <v>9.2929999999999993</v>
      </c>
      <c r="I269">
        <v>13.108000000000001</v>
      </c>
      <c r="J269">
        <v>0.54600000000000004</v>
      </c>
      <c r="K269">
        <v>9347.0779999999995</v>
      </c>
      <c r="L269">
        <v>101</v>
      </c>
      <c r="M269">
        <v>1.4119999999999999</v>
      </c>
      <c r="N269">
        <v>0.70799999999999996</v>
      </c>
      <c r="O269">
        <v>0.97399999999999998</v>
      </c>
      <c r="P269" s="2">
        <f t="shared" si="9"/>
        <v>1.4105240503604866</v>
      </c>
      <c r="Q269" t="str">
        <f t="shared" si="8"/>
        <v>esferica</v>
      </c>
    </row>
    <row r="270" spans="1:17" x14ac:dyDescent="0.35">
      <c r="A270" t="s">
        <v>14</v>
      </c>
      <c r="B270">
        <v>71.108000000000004</v>
      </c>
      <c r="C270">
        <v>115.276</v>
      </c>
      <c r="D270">
        <v>135</v>
      </c>
      <c r="E270">
        <v>65</v>
      </c>
      <c r="F270">
        <v>148</v>
      </c>
      <c r="G270">
        <v>37.893000000000001</v>
      </c>
      <c r="H270">
        <v>8.1679999999999993</v>
      </c>
      <c r="I270">
        <v>11.641</v>
      </c>
      <c r="J270">
        <v>0.622</v>
      </c>
      <c r="K270">
        <v>8197.1119999999992</v>
      </c>
      <c r="L270">
        <v>119</v>
      </c>
      <c r="M270">
        <v>1.427</v>
      </c>
      <c r="N270">
        <v>0.70099999999999996</v>
      </c>
      <c r="O270">
        <v>0.97399999999999998</v>
      </c>
      <c r="P270" s="2">
        <f t="shared" si="9"/>
        <v>1.4251958863858962</v>
      </c>
      <c r="Q270" t="str">
        <f t="shared" si="8"/>
        <v>esferica</v>
      </c>
    </row>
    <row r="271" spans="1:17" x14ac:dyDescent="0.35">
      <c r="A271" t="s">
        <v>14</v>
      </c>
      <c r="B271">
        <v>45.201999999999998</v>
      </c>
      <c r="C271">
        <v>86.031000000000006</v>
      </c>
      <c r="D271">
        <v>90</v>
      </c>
      <c r="E271">
        <v>61</v>
      </c>
      <c r="F271">
        <v>105</v>
      </c>
      <c r="G271">
        <v>37.073999999999998</v>
      </c>
      <c r="H271">
        <v>6.016</v>
      </c>
      <c r="I271">
        <v>9.7330000000000005</v>
      </c>
      <c r="J271">
        <v>0.41299999999999998</v>
      </c>
      <c r="K271">
        <v>3888.8090000000002</v>
      </c>
      <c r="L271">
        <v>87</v>
      </c>
      <c r="M271">
        <v>1.6919999999999999</v>
      </c>
      <c r="N271">
        <v>0.59099999999999997</v>
      </c>
      <c r="O271">
        <v>0.95299999999999996</v>
      </c>
      <c r="P271" s="2">
        <f t="shared" si="9"/>
        <v>1.6178523936170213</v>
      </c>
      <c r="Q271" t="str">
        <f t="shared" si="8"/>
        <v>eliptica</v>
      </c>
    </row>
    <row r="272" spans="1:17" x14ac:dyDescent="0.35">
      <c r="A272" t="s">
        <v>14</v>
      </c>
      <c r="B272">
        <v>91.522000000000006</v>
      </c>
      <c r="C272">
        <v>115.163</v>
      </c>
      <c r="D272">
        <v>134</v>
      </c>
      <c r="E272">
        <v>63</v>
      </c>
      <c r="F272">
        <v>147</v>
      </c>
      <c r="G272">
        <v>44.634999999999998</v>
      </c>
      <c r="H272">
        <v>8.1189999999999998</v>
      </c>
      <c r="I272">
        <v>14.38</v>
      </c>
      <c r="J272">
        <v>0.57699999999999996</v>
      </c>
      <c r="K272">
        <v>10539.946</v>
      </c>
      <c r="L272">
        <v>119</v>
      </c>
      <c r="M272">
        <v>1.76</v>
      </c>
      <c r="N272">
        <v>0.56799999999999995</v>
      </c>
      <c r="O272">
        <v>0.97899999999999998</v>
      </c>
      <c r="P272" s="2">
        <f t="shared" si="9"/>
        <v>1.7711540830151498</v>
      </c>
      <c r="Q272" t="str">
        <f t="shared" si="8"/>
        <v>eliptica</v>
      </c>
    </row>
    <row r="273" spans="1:17" x14ac:dyDescent="0.35">
      <c r="A273" t="s">
        <v>14</v>
      </c>
      <c r="B273">
        <v>126.96599999999999</v>
      </c>
      <c r="C273">
        <v>122.172</v>
      </c>
      <c r="D273">
        <v>141</v>
      </c>
      <c r="E273">
        <v>65</v>
      </c>
      <c r="F273">
        <v>156</v>
      </c>
      <c r="G273">
        <v>51.996000000000002</v>
      </c>
      <c r="H273">
        <v>9.9290000000000003</v>
      </c>
      <c r="I273">
        <v>16.873999999999999</v>
      </c>
      <c r="J273">
        <v>0.59</v>
      </c>
      <c r="K273">
        <v>15511.687</v>
      </c>
      <c r="L273">
        <v>127</v>
      </c>
      <c r="M273">
        <v>1.889</v>
      </c>
      <c r="N273">
        <v>0.52900000000000003</v>
      </c>
      <c r="O273">
        <v>0.98099999999999998</v>
      </c>
      <c r="P273" s="2">
        <f t="shared" si="9"/>
        <v>1.6994662100916504</v>
      </c>
      <c r="Q273" t="str">
        <f t="shared" si="8"/>
        <v>eliptica</v>
      </c>
    </row>
    <row r="274" spans="1:17" x14ac:dyDescent="0.35">
      <c r="A274" t="s">
        <v>14</v>
      </c>
      <c r="B274">
        <v>78.113</v>
      </c>
      <c r="C274">
        <v>95.978999999999999</v>
      </c>
      <c r="D274">
        <v>105</v>
      </c>
      <c r="E274">
        <v>63</v>
      </c>
      <c r="F274">
        <v>121</v>
      </c>
      <c r="G274">
        <v>50.2</v>
      </c>
      <c r="H274">
        <v>8.9019999999999992</v>
      </c>
      <c r="I274">
        <v>11.836</v>
      </c>
      <c r="J274">
        <v>0.39</v>
      </c>
      <c r="K274">
        <v>7497.1859999999997</v>
      </c>
      <c r="L274">
        <v>98</v>
      </c>
      <c r="M274">
        <v>1.377</v>
      </c>
      <c r="N274">
        <v>0.72599999999999998</v>
      </c>
      <c r="O274">
        <v>0.96399999999999997</v>
      </c>
      <c r="P274" s="2">
        <f t="shared" si="9"/>
        <v>1.329588856436756</v>
      </c>
      <c r="Q274" t="str">
        <f t="shared" si="8"/>
        <v>esferica</v>
      </c>
    </row>
    <row r="275" spans="1:17" x14ac:dyDescent="0.35">
      <c r="A275" t="s">
        <v>14</v>
      </c>
      <c r="B275">
        <v>127.387</v>
      </c>
      <c r="C275">
        <v>135.36600000000001</v>
      </c>
      <c r="D275">
        <v>149</v>
      </c>
      <c r="E275">
        <v>62</v>
      </c>
      <c r="F275">
        <v>167</v>
      </c>
      <c r="G275">
        <v>50.912999999999997</v>
      </c>
      <c r="H275">
        <v>10.369</v>
      </c>
      <c r="I275">
        <v>15.651999999999999</v>
      </c>
      <c r="J275">
        <v>0.61799999999999999</v>
      </c>
      <c r="K275">
        <v>17243.784</v>
      </c>
      <c r="L275">
        <v>142</v>
      </c>
      <c r="M275">
        <v>1.57</v>
      </c>
      <c r="N275">
        <v>0.63700000000000001</v>
      </c>
      <c r="O275">
        <v>0.98199999999999998</v>
      </c>
      <c r="P275" s="2">
        <f t="shared" si="9"/>
        <v>1.509499469572765</v>
      </c>
      <c r="Q275" t="str">
        <f t="shared" si="8"/>
        <v>eliptica</v>
      </c>
    </row>
    <row r="276" spans="1:17" x14ac:dyDescent="0.35">
      <c r="A276" t="s">
        <v>14</v>
      </c>
      <c r="B276">
        <v>71.290000000000006</v>
      </c>
      <c r="C276">
        <v>95.588999999999999</v>
      </c>
      <c r="D276">
        <v>105</v>
      </c>
      <c r="E276">
        <v>62</v>
      </c>
      <c r="F276">
        <v>117</v>
      </c>
      <c r="G276">
        <v>47.939</v>
      </c>
      <c r="H276">
        <v>8.8529999999999998</v>
      </c>
      <c r="I276">
        <v>11.739000000000001</v>
      </c>
      <c r="J276">
        <v>0.39</v>
      </c>
      <c r="K276">
        <v>6814.5829999999996</v>
      </c>
      <c r="L276">
        <v>97</v>
      </c>
      <c r="M276">
        <v>1.66</v>
      </c>
      <c r="N276">
        <v>0.60299999999999998</v>
      </c>
      <c r="O276">
        <v>0.96199999999999997</v>
      </c>
      <c r="P276" s="2">
        <f t="shared" si="9"/>
        <v>1.3259911894273129</v>
      </c>
      <c r="Q276" t="str">
        <f t="shared" si="8"/>
        <v>esferica</v>
      </c>
    </row>
    <row r="277" spans="1:17" x14ac:dyDescent="0.35">
      <c r="A277" t="s">
        <v>14</v>
      </c>
      <c r="B277">
        <v>149.791</v>
      </c>
      <c r="C277">
        <v>129.446</v>
      </c>
      <c r="D277">
        <v>146</v>
      </c>
      <c r="E277">
        <v>67</v>
      </c>
      <c r="F277">
        <v>161</v>
      </c>
      <c r="G277">
        <v>56.53</v>
      </c>
      <c r="H277">
        <v>12.472</v>
      </c>
      <c r="I277">
        <v>16.922999999999998</v>
      </c>
      <c r="J277">
        <v>0.58899999999999997</v>
      </c>
      <c r="K277">
        <v>19389.852999999999</v>
      </c>
      <c r="L277">
        <v>139</v>
      </c>
      <c r="M277">
        <v>1.631</v>
      </c>
      <c r="N277">
        <v>0.61299999999999999</v>
      </c>
      <c r="O277">
        <v>0.97799999999999998</v>
      </c>
      <c r="P277" s="2">
        <f t="shared" si="9"/>
        <v>1.3568794098781269</v>
      </c>
      <c r="Q277" t="str">
        <f t="shared" si="8"/>
        <v>esferica</v>
      </c>
    </row>
    <row r="278" spans="1:17" x14ac:dyDescent="0.35">
      <c r="A278" t="s">
        <v>14</v>
      </c>
      <c r="B278">
        <v>122.04</v>
      </c>
      <c r="C278">
        <v>120.438</v>
      </c>
      <c r="D278">
        <v>137</v>
      </c>
      <c r="E278">
        <v>65</v>
      </c>
      <c r="F278">
        <v>152</v>
      </c>
      <c r="G278">
        <v>50.182000000000002</v>
      </c>
      <c r="H278">
        <v>10.76</v>
      </c>
      <c r="I278">
        <v>14.771000000000001</v>
      </c>
      <c r="J278">
        <v>0.60899999999999999</v>
      </c>
      <c r="K278">
        <v>14698.253000000001</v>
      </c>
      <c r="L278">
        <v>127</v>
      </c>
      <c r="M278">
        <v>1.4530000000000001</v>
      </c>
      <c r="N278">
        <v>0.68799999999999994</v>
      </c>
      <c r="O278">
        <v>0.97699999999999998</v>
      </c>
      <c r="P278" s="2">
        <f t="shared" si="9"/>
        <v>1.3727695167286247</v>
      </c>
      <c r="Q278" t="str">
        <f t="shared" si="8"/>
        <v>esferica</v>
      </c>
    </row>
    <row r="279" spans="1:17" x14ac:dyDescent="0.35">
      <c r="A279" t="s">
        <v>14</v>
      </c>
      <c r="B279">
        <v>100.435</v>
      </c>
      <c r="C279">
        <v>122.04600000000001</v>
      </c>
      <c r="D279">
        <v>141</v>
      </c>
      <c r="E279">
        <v>67</v>
      </c>
      <c r="F279">
        <v>153</v>
      </c>
      <c r="G279">
        <v>43.500999999999998</v>
      </c>
      <c r="H279">
        <v>8.9510000000000005</v>
      </c>
      <c r="I279">
        <v>14.183999999999999</v>
      </c>
      <c r="J279">
        <v>0.66700000000000004</v>
      </c>
      <c r="K279">
        <v>12257.734</v>
      </c>
      <c r="L279">
        <v>128</v>
      </c>
      <c r="M279">
        <v>1.597</v>
      </c>
      <c r="N279">
        <v>0.626</v>
      </c>
      <c r="O279">
        <v>0.98299999999999998</v>
      </c>
      <c r="P279" s="2">
        <f t="shared" si="9"/>
        <v>1.5846274159311806</v>
      </c>
      <c r="Q279" t="str">
        <f t="shared" si="8"/>
        <v>eliptica</v>
      </c>
    </row>
    <row r="280" spans="1:17" x14ac:dyDescent="0.35">
      <c r="A280" t="s">
        <v>14</v>
      </c>
      <c r="B280">
        <v>108.06</v>
      </c>
      <c r="C280">
        <v>125.59399999999999</v>
      </c>
      <c r="D280">
        <v>141</v>
      </c>
      <c r="E280">
        <v>65</v>
      </c>
      <c r="F280">
        <v>171</v>
      </c>
      <c r="G280">
        <v>45.954000000000001</v>
      </c>
      <c r="H280">
        <v>9.8309999999999995</v>
      </c>
      <c r="I280">
        <v>14.135</v>
      </c>
      <c r="J280">
        <v>0.64300000000000002</v>
      </c>
      <c r="K280">
        <v>13571.64</v>
      </c>
      <c r="L280">
        <v>132</v>
      </c>
      <c r="M280">
        <v>1.4650000000000001</v>
      </c>
      <c r="N280">
        <v>0.68300000000000005</v>
      </c>
      <c r="O280">
        <v>0.98299999999999998</v>
      </c>
      <c r="P280" s="2">
        <f t="shared" si="9"/>
        <v>1.4377987997151866</v>
      </c>
      <c r="Q280" t="str">
        <f t="shared" si="8"/>
        <v>esferica</v>
      </c>
    </row>
    <row r="281" spans="1:17" x14ac:dyDescent="0.35">
      <c r="A281" t="s">
        <v>14</v>
      </c>
      <c r="B281">
        <v>92.832999999999998</v>
      </c>
      <c r="C281">
        <v>119.94199999999999</v>
      </c>
      <c r="D281">
        <v>135</v>
      </c>
      <c r="E281">
        <v>67</v>
      </c>
      <c r="F281">
        <v>147</v>
      </c>
      <c r="G281">
        <v>43.997</v>
      </c>
      <c r="H281">
        <v>9.6839999999999993</v>
      </c>
      <c r="I281">
        <v>13.401999999999999</v>
      </c>
      <c r="J281">
        <v>0.60299999999999998</v>
      </c>
      <c r="K281">
        <v>11134.513000000001</v>
      </c>
      <c r="L281">
        <v>126</v>
      </c>
      <c r="M281">
        <v>1.6739999999999999</v>
      </c>
      <c r="N281">
        <v>0.59699999999999998</v>
      </c>
      <c r="O281">
        <v>0.97399999999999998</v>
      </c>
      <c r="P281" s="2">
        <f t="shared" si="9"/>
        <v>1.3839322593969434</v>
      </c>
      <c r="Q281" t="str">
        <f t="shared" si="8"/>
        <v>esferica</v>
      </c>
    </row>
    <row r="282" spans="1:17" x14ac:dyDescent="0.35">
      <c r="A282" t="s">
        <v>14</v>
      </c>
      <c r="B282">
        <v>109.01600000000001</v>
      </c>
      <c r="C282">
        <v>119.377</v>
      </c>
      <c r="D282">
        <v>137</v>
      </c>
      <c r="E282">
        <v>67</v>
      </c>
      <c r="F282">
        <v>153</v>
      </c>
      <c r="G282">
        <v>48.25</v>
      </c>
      <c r="H282">
        <v>10.663</v>
      </c>
      <c r="I282">
        <v>14.037000000000001</v>
      </c>
      <c r="J282">
        <v>0.58799999999999997</v>
      </c>
      <c r="K282">
        <v>13014.076999999999</v>
      </c>
      <c r="L282">
        <v>124</v>
      </c>
      <c r="M282">
        <v>1.5209999999999999</v>
      </c>
      <c r="N282">
        <v>0.65700000000000003</v>
      </c>
      <c r="O282">
        <v>0.97699999999999998</v>
      </c>
      <c r="P282" s="2">
        <f t="shared" si="9"/>
        <v>1.3164212698114977</v>
      </c>
      <c r="Q282" t="str">
        <f t="shared" si="8"/>
        <v>esferica</v>
      </c>
    </row>
    <row r="283" spans="1:17" x14ac:dyDescent="0.35">
      <c r="A283" t="s">
        <v>14</v>
      </c>
      <c r="B283">
        <v>129.66200000000001</v>
      </c>
      <c r="C283">
        <v>137.392</v>
      </c>
      <c r="D283">
        <v>158</v>
      </c>
      <c r="E283">
        <v>59</v>
      </c>
      <c r="F283">
        <v>176</v>
      </c>
      <c r="G283">
        <v>55.771999999999998</v>
      </c>
      <c r="H283">
        <v>9.8309999999999995</v>
      </c>
      <c r="I283">
        <v>17.460999999999999</v>
      </c>
      <c r="J283">
        <v>0.52400000000000002</v>
      </c>
      <c r="K283">
        <v>17814.444</v>
      </c>
      <c r="L283">
        <v>145</v>
      </c>
      <c r="M283">
        <v>1.698</v>
      </c>
      <c r="N283">
        <v>0.58899999999999997</v>
      </c>
      <c r="O283">
        <v>0.96899999999999997</v>
      </c>
      <c r="P283" s="2">
        <f t="shared" si="9"/>
        <v>1.7761163665954633</v>
      </c>
      <c r="Q283" t="str">
        <f t="shared" si="8"/>
        <v>eliptica</v>
      </c>
    </row>
    <row r="284" spans="1:17" x14ac:dyDescent="0.35">
      <c r="A284" t="s">
        <v>14</v>
      </c>
      <c r="B284">
        <v>124.741</v>
      </c>
      <c r="C284">
        <v>126.039</v>
      </c>
      <c r="D284">
        <v>140</v>
      </c>
      <c r="E284">
        <v>67</v>
      </c>
      <c r="F284">
        <v>191</v>
      </c>
      <c r="G284">
        <v>47.536000000000001</v>
      </c>
      <c r="H284">
        <v>10.663</v>
      </c>
      <c r="I284">
        <v>15.211</v>
      </c>
      <c r="J284">
        <v>0.69399999999999995</v>
      </c>
      <c r="K284">
        <v>15722.189</v>
      </c>
      <c r="L284">
        <v>132</v>
      </c>
      <c r="M284">
        <v>1.4970000000000001</v>
      </c>
      <c r="N284">
        <v>0.66800000000000004</v>
      </c>
      <c r="O284">
        <v>0.97899999999999998</v>
      </c>
      <c r="P284" s="2">
        <f t="shared" si="9"/>
        <v>1.426521616805777</v>
      </c>
      <c r="Q284" t="str">
        <f t="shared" si="8"/>
        <v>esferica</v>
      </c>
    </row>
    <row r="285" spans="1:17" x14ac:dyDescent="0.35">
      <c r="A285" t="s">
        <v>14</v>
      </c>
      <c r="B285">
        <v>147.982</v>
      </c>
      <c r="C285">
        <v>136.17699999999999</v>
      </c>
      <c r="D285">
        <v>152</v>
      </c>
      <c r="E285">
        <v>69</v>
      </c>
      <c r="F285">
        <v>167</v>
      </c>
      <c r="G285">
        <v>49.869</v>
      </c>
      <c r="H285">
        <v>11.641</v>
      </c>
      <c r="I285">
        <v>15.651999999999999</v>
      </c>
      <c r="J285">
        <v>0.748</v>
      </c>
      <c r="K285">
        <v>20151.784</v>
      </c>
      <c r="L285">
        <v>143</v>
      </c>
      <c r="M285">
        <v>1.3440000000000001</v>
      </c>
      <c r="N285">
        <v>0.74399999999999999</v>
      </c>
      <c r="O285">
        <v>0.98599999999999999</v>
      </c>
      <c r="P285" s="2">
        <f t="shared" si="9"/>
        <v>1.3445580276608537</v>
      </c>
      <c r="Q285" t="str">
        <f t="shared" si="8"/>
        <v>esferica</v>
      </c>
    </row>
    <row r="286" spans="1:17" x14ac:dyDescent="0.35">
      <c r="A286" t="s">
        <v>14</v>
      </c>
      <c r="B286">
        <v>112.414</v>
      </c>
      <c r="C286">
        <v>97.861000000000004</v>
      </c>
      <c r="D286">
        <v>108</v>
      </c>
      <c r="E286">
        <v>65</v>
      </c>
      <c r="F286">
        <v>124</v>
      </c>
      <c r="G286">
        <v>60.908000000000001</v>
      </c>
      <c r="H286">
        <v>9.5380000000000003</v>
      </c>
      <c r="I286">
        <v>15.896000000000001</v>
      </c>
      <c r="J286">
        <v>0.38100000000000001</v>
      </c>
      <c r="K286">
        <v>11000.875</v>
      </c>
      <c r="L286">
        <v>100</v>
      </c>
      <c r="M286">
        <v>1.756</v>
      </c>
      <c r="N286">
        <v>0.56999999999999995</v>
      </c>
      <c r="O286">
        <v>0.96599999999999997</v>
      </c>
      <c r="P286" s="2">
        <f t="shared" si="9"/>
        <v>1.6665967708114908</v>
      </c>
      <c r="Q286" t="str">
        <f t="shared" si="8"/>
        <v>eliptica</v>
      </c>
    </row>
    <row r="287" spans="1:17" x14ac:dyDescent="0.35">
      <c r="A287" t="s">
        <v>14</v>
      </c>
      <c r="B287">
        <v>130.25800000000001</v>
      </c>
      <c r="C287">
        <v>123.17100000000001</v>
      </c>
      <c r="D287">
        <v>144</v>
      </c>
      <c r="E287">
        <v>68</v>
      </c>
      <c r="F287">
        <v>157</v>
      </c>
      <c r="G287">
        <v>52.183</v>
      </c>
      <c r="H287">
        <v>8.7059999999999995</v>
      </c>
      <c r="I287">
        <v>18.146000000000001</v>
      </c>
      <c r="J287">
        <v>0.60099999999999998</v>
      </c>
      <c r="K287">
        <v>16043.918</v>
      </c>
      <c r="L287">
        <v>128</v>
      </c>
      <c r="M287">
        <v>2.0870000000000002</v>
      </c>
      <c r="N287">
        <v>0.47899999999999998</v>
      </c>
      <c r="O287">
        <v>0.98199999999999998</v>
      </c>
      <c r="P287" s="2">
        <f t="shared" si="9"/>
        <v>2.0843096714909262</v>
      </c>
      <c r="Q287" t="str">
        <f t="shared" si="8"/>
        <v>alongada</v>
      </c>
    </row>
    <row r="288" spans="1:17" x14ac:dyDescent="0.35">
      <c r="A288" t="s">
        <v>14</v>
      </c>
      <c r="B288">
        <v>139.78100000000001</v>
      </c>
      <c r="C288">
        <v>134.17599999999999</v>
      </c>
      <c r="D288">
        <v>148</v>
      </c>
      <c r="E288">
        <v>68</v>
      </c>
      <c r="F288">
        <v>163</v>
      </c>
      <c r="G288">
        <v>48.944000000000003</v>
      </c>
      <c r="H288">
        <v>11.005000000000001</v>
      </c>
      <c r="I288">
        <v>15.994</v>
      </c>
      <c r="J288">
        <v>0.73299999999999998</v>
      </c>
      <c r="K288">
        <v>18755.241999999998</v>
      </c>
      <c r="L288">
        <v>140</v>
      </c>
      <c r="M288">
        <v>1.54</v>
      </c>
      <c r="N288">
        <v>0.65</v>
      </c>
      <c r="O288">
        <v>0.98399999999999999</v>
      </c>
      <c r="P288" s="2">
        <f t="shared" si="9"/>
        <v>1.4533393911858246</v>
      </c>
      <c r="Q288" t="str">
        <f t="shared" si="8"/>
        <v>esferica</v>
      </c>
    </row>
    <row r="289" spans="1:17" x14ac:dyDescent="0.35">
      <c r="A289" t="s">
        <v>14</v>
      </c>
      <c r="B289">
        <v>92.638999999999996</v>
      </c>
      <c r="C289">
        <v>127.505</v>
      </c>
      <c r="D289">
        <v>150</v>
      </c>
      <c r="E289">
        <v>68</v>
      </c>
      <c r="F289">
        <v>160</v>
      </c>
      <c r="G289">
        <v>39.295999999999999</v>
      </c>
      <c r="H289">
        <v>9.3420000000000005</v>
      </c>
      <c r="I289">
        <v>12.717000000000001</v>
      </c>
      <c r="J289">
        <v>0.754</v>
      </c>
      <c r="K289">
        <v>11811.901</v>
      </c>
      <c r="L289">
        <v>133</v>
      </c>
      <c r="M289">
        <v>1.35</v>
      </c>
      <c r="N289">
        <v>0.74099999999999999</v>
      </c>
      <c r="O289">
        <v>0.98399999999999999</v>
      </c>
      <c r="P289" s="2">
        <f t="shared" si="9"/>
        <v>1.3612716763005781</v>
      </c>
      <c r="Q289" t="str">
        <f t="shared" si="8"/>
        <v>esferica</v>
      </c>
    </row>
    <row r="290" spans="1:17" x14ac:dyDescent="0.35">
      <c r="A290" t="s">
        <v>14</v>
      </c>
      <c r="B290">
        <v>53.57</v>
      </c>
      <c r="C290">
        <v>93.462999999999994</v>
      </c>
      <c r="D290">
        <v>102</v>
      </c>
      <c r="E290">
        <v>52</v>
      </c>
      <c r="F290">
        <v>153</v>
      </c>
      <c r="G290">
        <v>69.364999999999995</v>
      </c>
      <c r="H290">
        <v>7.5810000000000004</v>
      </c>
      <c r="I290">
        <v>11.885</v>
      </c>
      <c r="J290">
        <v>0.14000000000000001</v>
      </c>
      <c r="K290">
        <v>5006.848</v>
      </c>
      <c r="L290">
        <v>94</v>
      </c>
      <c r="M290">
        <v>1.7210000000000001</v>
      </c>
      <c r="N290">
        <v>0.58099999999999996</v>
      </c>
      <c r="O290">
        <v>0.81</v>
      </c>
      <c r="P290" s="2">
        <f t="shared" si="9"/>
        <v>1.5677351272919138</v>
      </c>
      <c r="Q290" t="str">
        <f t="shared" si="8"/>
        <v>eliptica</v>
      </c>
    </row>
    <row r="291" spans="1:17" x14ac:dyDescent="0.35">
      <c r="A291" t="s">
        <v>14</v>
      </c>
      <c r="B291">
        <v>80.373999999999995</v>
      </c>
      <c r="C291">
        <v>110.142</v>
      </c>
      <c r="D291">
        <v>121</v>
      </c>
      <c r="E291">
        <v>66</v>
      </c>
      <c r="F291">
        <v>160</v>
      </c>
      <c r="G291">
        <v>46.64</v>
      </c>
      <c r="H291">
        <v>7.0919999999999996</v>
      </c>
      <c r="I291">
        <v>15.505000000000001</v>
      </c>
      <c r="J291">
        <v>0.46400000000000002</v>
      </c>
      <c r="K291">
        <v>8852.4709999999995</v>
      </c>
      <c r="L291">
        <v>114</v>
      </c>
      <c r="M291">
        <v>2.4209999999999998</v>
      </c>
      <c r="N291">
        <v>0.41299999999999998</v>
      </c>
      <c r="O291">
        <v>0.97399999999999998</v>
      </c>
      <c r="P291" s="2">
        <f t="shared" si="9"/>
        <v>2.1862662154540331</v>
      </c>
      <c r="Q291" t="str">
        <f t="shared" si="8"/>
        <v>alongada</v>
      </c>
    </row>
    <row r="292" spans="1:17" x14ac:dyDescent="0.35">
      <c r="A292" t="s">
        <v>14</v>
      </c>
      <c r="B292">
        <v>102.696</v>
      </c>
      <c r="C292">
        <v>126.977</v>
      </c>
      <c r="D292">
        <v>141</v>
      </c>
      <c r="E292">
        <v>67</v>
      </c>
      <c r="F292">
        <v>158</v>
      </c>
      <c r="G292">
        <v>46.692999999999998</v>
      </c>
      <c r="H292">
        <v>9.5380000000000003</v>
      </c>
      <c r="I292">
        <v>13.891</v>
      </c>
      <c r="J292">
        <v>0.59199999999999997</v>
      </c>
      <c r="K292">
        <v>13040.035</v>
      </c>
      <c r="L292">
        <v>132</v>
      </c>
      <c r="M292">
        <v>1.474</v>
      </c>
      <c r="N292">
        <v>0.67800000000000005</v>
      </c>
      <c r="O292">
        <v>0.97599999999999998</v>
      </c>
      <c r="P292" s="2">
        <f t="shared" si="9"/>
        <v>1.4563849863703082</v>
      </c>
      <c r="Q292" t="str">
        <f t="shared" si="8"/>
        <v>esferica</v>
      </c>
    </row>
    <row r="293" spans="1:17" x14ac:dyDescent="0.35">
      <c r="A293" t="s">
        <v>14</v>
      </c>
      <c r="B293">
        <v>59.764000000000003</v>
      </c>
      <c r="C293">
        <v>114.92100000000001</v>
      </c>
      <c r="D293">
        <v>127</v>
      </c>
      <c r="E293">
        <v>62</v>
      </c>
      <c r="F293">
        <v>145</v>
      </c>
      <c r="G293">
        <v>33.286999999999999</v>
      </c>
      <c r="H293">
        <v>6.9450000000000003</v>
      </c>
      <c r="I293">
        <v>10.76</v>
      </c>
      <c r="J293">
        <v>0.67800000000000005</v>
      </c>
      <c r="K293">
        <v>6868.1660000000002</v>
      </c>
      <c r="L293">
        <v>119</v>
      </c>
      <c r="M293">
        <v>1.5529999999999999</v>
      </c>
      <c r="N293">
        <v>0.64400000000000002</v>
      </c>
      <c r="O293">
        <v>0.97899999999999998</v>
      </c>
      <c r="P293" s="2">
        <f t="shared" si="9"/>
        <v>1.5493160547156226</v>
      </c>
      <c r="Q293" t="str">
        <f t="shared" si="8"/>
        <v>eliptica</v>
      </c>
    </row>
    <row r="294" spans="1:17" x14ac:dyDescent="0.35">
      <c r="A294" t="s">
        <v>14</v>
      </c>
      <c r="B294">
        <v>98.251000000000005</v>
      </c>
      <c r="C294">
        <v>122.504</v>
      </c>
      <c r="D294">
        <v>141</v>
      </c>
      <c r="E294">
        <v>64</v>
      </c>
      <c r="F294">
        <v>153</v>
      </c>
      <c r="G294">
        <v>44.295000000000002</v>
      </c>
      <c r="H294">
        <v>10.026999999999999</v>
      </c>
      <c r="I294">
        <v>13.353</v>
      </c>
      <c r="J294">
        <v>0.629</v>
      </c>
      <c r="K294">
        <v>12036.194</v>
      </c>
      <c r="L294">
        <v>127</v>
      </c>
      <c r="M294">
        <v>1.456</v>
      </c>
      <c r="N294">
        <v>0.68700000000000006</v>
      </c>
      <c r="O294">
        <v>0.97599999999999998</v>
      </c>
      <c r="P294" s="2">
        <f t="shared" si="9"/>
        <v>1.3317043981250625</v>
      </c>
      <c r="Q294" t="str">
        <f t="shared" si="8"/>
        <v>esferica</v>
      </c>
    </row>
    <row r="295" spans="1:17" x14ac:dyDescent="0.35">
      <c r="A295" t="s">
        <v>14</v>
      </c>
      <c r="B295">
        <v>85.605999999999995</v>
      </c>
      <c r="C295">
        <v>108.59099999999999</v>
      </c>
      <c r="D295">
        <v>116</v>
      </c>
      <c r="E295">
        <v>66</v>
      </c>
      <c r="F295">
        <v>140</v>
      </c>
      <c r="G295">
        <v>43.540999999999997</v>
      </c>
      <c r="H295">
        <v>9.5380000000000003</v>
      </c>
      <c r="I295">
        <v>12.961</v>
      </c>
      <c r="J295">
        <v>0.56699999999999995</v>
      </c>
      <c r="K295">
        <v>9296.0030000000006</v>
      </c>
      <c r="L295">
        <v>112</v>
      </c>
      <c r="M295">
        <v>1.869</v>
      </c>
      <c r="N295">
        <v>0.53500000000000003</v>
      </c>
      <c r="O295">
        <v>0.97099999999999997</v>
      </c>
      <c r="P295" s="2">
        <f t="shared" si="9"/>
        <v>1.3588802684000838</v>
      </c>
      <c r="Q295" t="str">
        <f t="shared" si="8"/>
        <v>esferica</v>
      </c>
    </row>
    <row r="296" spans="1:17" x14ac:dyDescent="0.35">
      <c r="A296" t="s">
        <v>14</v>
      </c>
      <c r="B296">
        <v>126.64</v>
      </c>
      <c r="C296">
        <v>131.65100000000001</v>
      </c>
      <c r="D296">
        <v>146</v>
      </c>
      <c r="E296">
        <v>70</v>
      </c>
      <c r="F296">
        <v>161</v>
      </c>
      <c r="G296">
        <v>47.088999999999999</v>
      </c>
      <c r="H296">
        <v>10.663</v>
      </c>
      <c r="I296">
        <v>14.917999999999999</v>
      </c>
      <c r="J296">
        <v>0.71799999999999997</v>
      </c>
      <c r="K296">
        <v>16672.349999999999</v>
      </c>
      <c r="L296">
        <v>138</v>
      </c>
      <c r="M296">
        <v>1.4059999999999999</v>
      </c>
      <c r="N296">
        <v>0.71099999999999997</v>
      </c>
      <c r="O296">
        <v>0.98499999999999999</v>
      </c>
      <c r="P296" s="2">
        <f t="shared" si="9"/>
        <v>1.3990434211760292</v>
      </c>
      <c r="Q296" t="str">
        <f t="shared" si="8"/>
        <v>esferica</v>
      </c>
    </row>
    <row r="297" spans="1:17" x14ac:dyDescent="0.35">
      <c r="A297" t="s">
        <v>15</v>
      </c>
      <c r="B297">
        <v>153.99100000000001</v>
      </c>
      <c r="C297">
        <v>126.21</v>
      </c>
      <c r="D297">
        <v>148</v>
      </c>
      <c r="E297">
        <v>56</v>
      </c>
      <c r="F297">
        <v>160</v>
      </c>
      <c r="G297">
        <v>55.097000000000001</v>
      </c>
      <c r="H297">
        <v>10.858000000000001</v>
      </c>
      <c r="I297">
        <v>17.998999999999999</v>
      </c>
      <c r="J297">
        <v>0.63700000000000001</v>
      </c>
      <c r="K297">
        <v>19435.315999999999</v>
      </c>
      <c r="L297">
        <v>131</v>
      </c>
      <c r="M297">
        <v>1.65</v>
      </c>
      <c r="N297">
        <v>0.60599999999999998</v>
      </c>
      <c r="O297">
        <v>0.97599999999999998</v>
      </c>
      <c r="P297" s="2">
        <f t="shared" si="9"/>
        <v>1.6576717627555717</v>
      </c>
      <c r="Q297" t="str">
        <f t="shared" si="8"/>
        <v>eliptica</v>
      </c>
    </row>
    <row r="298" spans="1:17" x14ac:dyDescent="0.35">
      <c r="A298" t="s">
        <v>15</v>
      </c>
      <c r="B298">
        <v>147.55600000000001</v>
      </c>
      <c r="C298">
        <v>122.896</v>
      </c>
      <c r="D298">
        <v>131</v>
      </c>
      <c r="E298">
        <v>59</v>
      </c>
      <c r="F298">
        <v>160</v>
      </c>
      <c r="G298">
        <v>52.823999999999998</v>
      </c>
      <c r="H298">
        <v>10.858000000000001</v>
      </c>
      <c r="I298">
        <v>17.216999999999999</v>
      </c>
      <c r="J298">
        <v>0.66500000000000004</v>
      </c>
      <c r="K298">
        <v>18134.022000000001</v>
      </c>
      <c r="L298">
        <v>127</v>
      </c>
      <c r="M298">
        <v>1.579</v>
      </c>
      <c r="N298">
        <v>0.63300000000000001</v>
      </c>
      <c r="O298">
        <v>0.98199999999999998</v>
      </c>
      <c r="P298" s="2">
        <f t="shared" si="9"/>
        <v>1.5856511328053047</v>
      </c>
      <c r="Q298" t="str">
        <f t="shared" si="8"/>
        <v>eliptica</v>
      </c>
    </row>
    <row r="299" spans="1:17" x14ac:dyDescent="0.35">
      <c r="A299" t="s">
        <v>15</v>
      </c>
      <c r="B299">
        <v>90.474000000000004</v>
      </c>
      <c r="C299">
        <v>107.32599999999999</v>
      </c>
      <c r="D299">
        <v>124</v>
      </c>
      <c r="E299">
        <v>39</v>
      </c>
      <c r="F299">
        <v>144</v>
      </c>
      <c r="G299">
        <v>45.055</v>
      </c>
      <c r="H299">
        <v>8.7550000000000008</v>
      </c>
      <c r="I299">
        <v>13.94</v>
      </c>
      <c r="J299">
        <v>0.56000000000000005</v>
      </c>
      <c r="K299">
        <v>9710.1530000000002</v>
      </c>
      <c r="L299">
        <v>111</v>
      </c>
      <c r="M299">
        <v>1.526</v>
      </c>
      <c r="N299">
        <v>0.65500000000000003</v>
      </c>
      <c r="O299">
        <v>0.95699999999999996</v>
      </c>
      <c r="P299" s="2">
        <f t="shared" si="9"/>
        <v>1.5922330097087376</v>
      </c>
      <c r="Q299" t="str">
        <f t="shared" si="8"/>
        <v>eliptica</v>
      </c>
    </row>
    <row r="300" spans="1:17" x14ac:dyDescent="0.35">
      <c r="A300" t="s">
        <v>15</v>
      </c>
      <c r="B300">
        <v>132.28899999999999</v>
      </c>
      <c r="C300">
        <v>105.994</v>
      </c>
      <c r="D300">
        <v>111</v>
      </c>
      <c r="E300">
        <v>59</v>
      </c>
      <c r="F300">
        <v>133</v>
      </c>
      <c r="G300">
        <v>48.854999999999997</v>
      </c>
      <c r="H300">
        <v>11.396000000000001</v>
      </c>
      <c r="I300">
        <v>14.917999999999999</v>
      </c>
      <c r="J300">
        <v>0.69599999999999995</v>
      </c>
      <c r="K300">
        <v>14021.790999999999</v>
      </c>
      <c r="L300">
        <v>110</v>
      </c>
      <c r="M300">
        <v>1.2869999999999999</v>
      </c>
      <c r="N300">
        <v>0.77700000000000002</v>
      </c>
      <c r="O300">
        <v>0.98</v>
      </c>
      <c r="P300" s="2">
        <f t="shared" si="9"/>
        <v>1.3090558090558089</v>
      </c>
      <c r="Q300" t="str">
        <f t="shared" si="8"/>
        <v>esferica</v>
      </c>
    </row>
    <row r="301" spans="1:17" x14ac:dyDescent="0.35">
      <c r="A301" t="s">
        <v>15</v>
      </c>
      <c r="B301">
        <v>117.806</v>
      </c>
      <c r="C301">
        <v>106.29600000000001</v>
      </c>
      <c r="D301">
        <v>115</v>
      </c>
      <c r="E301">
        <v>62</v>
      </c>
      <c r="F301">
        <v>250</v>
      </c>
      <c r="G301">
        <v>44.171999999999997</v>
      </c>
      <c r="H301">
        <v>11.445</v>
      </c>
      <c r="I301">
        <v>14.037000000000001</v>
      </c>
      <c r="J301">
        <v>0.75900000000000001</v>
      </c>
      <c r="K301">
        <v>12522.302</v>
      </c>
      <c r="L301">
        <v>110</v>
      </c>
      <c r="M301">
        <v>1.266</v>
      </c>
      <c r="N301">
        <v>0.79</v>
      </c>
      <c r="O301">
        <v>0.98199999999999998</v>
      </c>
      <c r="P301" s="2">
        <f t="shared" si="9"/>
        <v>1.2264744429882044</v>
      </c>
      <c r="Q301" t="str">
        <f t="shared" si="8"/>
        <v>esferica</v>
      </c>
    </row>
    <row r="302" spans="1:17" x14ac:dyDescent="0.35">
      <c r="A302" t="s">
        <v>15</v>
      </c>
      <c r="B302">
        <v>93.501999999999995</v>
      </c>
      <c r="C302">
        <v>114.447</v>
      </c>
      <c r="D302">
        <v>127</v>
      </c>
      <c r="E302">
        <v>60</v>
      </c>
      <c r="F302">
        <v>141</v>
      </c>
      <c r="G302">
        <v>42.56</v>
      </c>
      <c r="H302">
        <v>8.5109999999999992</v>
      </c>
      <c r="I302">
        <v>13.989000000000001</v>
      </c>
      <c r="J302">
        <v>0.64900000000000002</v>
      </c>
      <c r="K302">
        <v>10701.107</v>
      </c>
      <c r="L302">
        <v>119</v>
      </c>
      <c r="M302">
        <v>1.6519999999999999</v>
      </c>
      <c r="N302">
        <v>0.60499999999999998</v>
      </c>
      <c r="O302">
        <v>0.97799999999999998</v>
      </c>
      <c r="P302" s="2">
        <f t="shared" si="9"/>
        <v>1.6436376454000707</v>
      </c>
      <c r="Q302" t="str">
        <f t="shared" si="8"/>
        <v>eliptica</v>
      </c>
    </row>
    <row r="303" spans="1:17" x14ac:dyDescent="0.35">
      <c r="A303" t="s">
        <v>15</v>
      </c>
      <c r="B303">
        <v>131.41499999999999</v>
      </c>
      <c r="C303">
        <v>123.07599999999999</v>
      </c>
      <c r="D303">
        <v>144</v>
      </c>
      <c r="E303">
        <v>60</v>
      </c>
      <c r="F303">
        <v>206</v>
      </c>
      <c r="G303">
        <v>48.478000000000002</v>
      </c>
      <c r="H303">
        <v>12.032</v>
      </c>
      <c r="I303">
        <v>14.526999999999999</v>
      </c>
      <c r="J303">
        <v>0.70299999999999996</v>
      </c>
      <c r="K303">
        <v>16174.13</v>
      </c>
      <c r="L303">
        <v>129</v>
      </c>
      <c r="M303">
        <v>1.2749999999999999</v>
      </c>
      <c r="N303">
        <v>0.78400000000000003</v>
      </c>
      <c r="O303">
        <v>0.98399999999999999</v>
      </c>
      <c r="P303" s="2">
        <f t="shared" si="9"/>
        <v>1.2073636968085106</v>
      </c>
      <c r="Q303" t="str">
        <f t="shared" si="8"/>
        <v>esferica</v>
      </c>
    </row>
    <row r="304" spans="1:17" x14ac:dyDescent="0.35">
      <c r="A304" t="s">
        <v>15</v>
      </c>
      <c r="B304">
        <v>142.67599999999999</v>
      </c>
      <c r="C304">
        <v>127.374</v>
      </c>
      <c r="D304">
        <v>141</v>
      </c>
      <c r="E304">
        <v>52</v>
      </c>
      <c r="F304">
        <v>171</v>
      </c>
      <c r="G304">
        <v>61.581000000000003</v>
      </c>
      <c r="H304">
        <v>10.614000000000001</v>
      </c>
      <c r="I304">
        <v>17.706</v>
      </c>
      <c r="J304">
        <v>0.47299999999999998</v>
      </c>
      <c r="K304">
        <v>18173.135999999999</v>
      </c>
      <c r="L304">
        <v>133</v>
      </c>
      <c r="M304">
        <v>1.6819999999999999</v>
      </c>
      <c r="N304">
        <v>0.59399999999999997</v>
      </c>
      <c r="O304">
        <v>0.97</v>
      </c>
      <c r="P304" s="2">
        <f t="shared" si="9"/>
        <v>1.6681741096664782</v>
      </c>
      <c r="Q304" t="str">
        <f t="shared" si="8"/>
        <v>eliptica</v>
      </c>
    </row>
    <row r="305" spans="1:17" x14ac:dyDescent="0.35">
      <c r="A305" t="s">
        <v>15</v>
      </c>
      <c r="B305">
        <v>45.389000000000003</v>
      </c>
      <c r="C305">
        <v>87.182000000000002</v>
      </c>
      <c r="D305">
        <v>94</v>
      </c>
      <c r="E305">
        <v>57</v>
      </c>
      <c r="F305">
        <v>106</v>
      </c>
      <c r="G305">
        <v>32.174999999999997</v>
      </c>
      <c r="H305">
        <v>5.8689999999999998</v>
      </c>
      <c r="I305">
        <v>9.9779999999999998</v>
      </c>
      <c r="J305">
        <v>0.55100000000000005</v>
      </c>
      <c r="K305">
        <v>3957.1060000000002</v>
      </c>
      <c r="L305">
        <v>90</v>
      </c>
      <c r="M305">
        <v>1.798</v>
      </c>
      <c r="N305">
        <v>0.55600000000000005</v>
      </c>
      <c r="O305">
        <v>0.95799999999999996</v>
      </c>
      <c r="P305" s="2">
        <f t="shared" si="9"/>
        <v>1.7001192707445902</v>
      </c>
      <c r="Q305" t="str">
        <f t="shared" si="8"/>
        <v>eliptica</v>
      </c>
    </row>
    <row r="306" spans="1:17" x14ac:dyDescent="0.35">
      <c r="A306" t="s">
        <v>15</v>
      </c>
      <c r="B306">
        <v>117.77</v>
      </c>
      <c r="C306">
        <v>98.956999999999994</v>
      </c>
      <c r="D306">
        <v>108</v>
      </c>
      <c r="E306">
        <v>61</v>
      </c>
      <c r="F306">
        <v>122</v>
      </c>
      <c r="G306">
        <v>46.683</v>
      </c>
      <c r="H306">
        <v>10.467000000000001</v>
      </c>
      <c r="I306">
        <v>14.917999999999999</v>
      </c>
      <c r="J306">
        <v>0.67900000000000005</v>
      </c>
      <c r="K306">
        <v>11654.199000000001</v>
      </c>
      <c r="L306">
        <v>102</v>
      </c>
      <c r="M306">
        <v>1.4119999999999999</v>
      </c>
      <c r="N306">
        <v>0.70799999999999996</v>
      </c>
      <c r="O306">
        <v>0.98299999999999998</v>
      </c>
      <c r="P306" s="2">
        <f t="shared" si="9"/>
        <v>1.4252412343555936</v>
      </c>
      <c r="Q306" t="str">
        <f t="shared" si="8"/>
        <v>esferica</v>
      </c>
    </row>
    <row r="307" spans="1:17" x14ac:dyDescent="0.35">
      <c r="A307" t="s">
        <v>15</v>
      </c>
      <c r="B307">
        <v>122.72199999999999</v>
      </c>
      <c r="C307">
        <v>100.51900000000001</v>
      </c>
      <c r="D307">
        <v>111</v>
      </c>
      <c r="E307">
        <v>60</v>
      </c>
      <c r="F307">
        <v>124</v>
      </c>
      <c r="G307">
        <v>48.113999999999997</v>
      </c>
      <c r="H307">
        <v>10.907</v>
      </c>
      <c r="I307">
        <v>14.771000000000001</v>
      </c>
      <c r="J307">
        <v>0.66600000000000004</v>
      </c>
      <c r="K307">
        <v>12335.924000000001</v>
      </c>
      <c r="L307">
        <v>104</v>
      </c>
      <c r="M307">
        <v>1.4370000000000001</v>
      </c>
      <c r="N307">
        <v>0.69599999999999995</v>
      </c>
      <c r="O307">
        <v>0.98199999999999998</v>
      </c>
      <c r="P307" s="2">
        <f t="shared" si="9"/>
        <v>1.3542679013477583</v>
      </c>
      <c r="Q307" t="str">
        <f t="shared" si="8"/>
        <v>esferica</v>
      </c>
    </row>
    <row r="308" spans="1:17" x14ac:dyDescent="0.35">
      <c r="A308" t="s">
        <v>15</v>
      </c>
      <c r="B308">
        <v>92.358999999999995</v>
      </c>
      <c r="C308">
        <v>117.69</v>
      </c>
      <c r="D308">
        <v>138</v>
      </c>
      <c r="E308">
        <v>58</v>
      </c>
      <c r="F308">
        <v>148</v>
      </c>
      <c r="G308">
        <v>43.523000000000003</v>
      </c>
      <c r="H308">
        <v>8.7059999999999995</v>
      </c>
      <c r="I308">
        <v>13.353</v>
      </c>
      <c r="J308">
        <v>0.61299999999999999</v>
      </c>
      <c r="K308">
        <v>10869.759</v>
      </c>
      <c r="L308">
        <v>124</v>
      </c>
      <c r="M308">
        <v>1.5249999999999999</v>
      </c>
      <c r="N308">
        <v>0.65600000000000003</v>
      </c>
      <c r="O308">
        <v>0.97399999999999998</v>
      </c>
      <c r="P308" s="2">
        <f t="shared" si="9"/>
        <v>1.5337698139214335</v>
      </c>
      <c r="Q308" t="str">
        <f t="shared" si="8"/>
        <v>eliptica</v>
      </c>
    </row>
    <row r="309" spans="1:17" x14ac:dyDescent="0.35">
      <c r="A309" t="s">
        <v>15</v>
      </c>
      <c r="B309">
        <v>45.52</v>
      </c>
      <c r="C309">
        <v>92.965999999999994</v>
      </c>
      <c r="D309">
        <v>91</v>
      </c>
      <c r="E309">
        <v>51</v>
      </c>
      <c r="F309">
        <v>128</v>
      </c>
      <c r="G309">
        <v>46.930999999999997</v>
      </c>
      <c r="H309">
        <v>8.0210000000000008</v>
      </c>
      <c r="I309">
        <v>8.9019999999999992</v>
      </c>
      <c r="J309">
        <v>0.26</v>
      </c>
      <c r="K309">
        <v>4231.8720000000003</v>
      </c>
      <c r="L309">
        <v>92</v>
      </c>
      <c r="M309">
        <v>1.087</v>
      </c>
      <c r="N309">
        <v>0.92</v>
      </c>
      <c r="O309">
        <v>0.874</v>
      </c>
      <c r="P309" s="2">
        <f t="shared" si="9"/>
        <v>1.109836678718364</v>
      </c>
      <c r="Q309" t="str">
        <f t="shared" si="8"/>
        <v>esferica</v>
      </c>
    </row>
    <row r="310" spans="1:17" x14ac:dyDescent="0.35">
      <c r="A310" t="s">
        <v>15</v>
      </c>
      <c r="B310">
        <v>96.05</v>
      </c>
      <c r="C310">
        <v>118.52800000000001</v>
      </c>
      <c r="D310">
        <v>132</v>
      </c>
      <c r="E310">
        <v>60</v>
      </c>
      <c r="F310">
        <v>146</v>
      </c>
      <c r="G310">
        <v>40.384</v>
      </c>
      <c r="H310">
        <v>9.391</v>
      </c>
      <c r="I310">
        <v>12.961</v>
      </c>
      <c r="J310">
        <v>0.74</v>
      </c>
      <c r="K310">
        <v>11384.65</v>
      </c>
      <c r="L310">
        <v>124</v>
      </c>
      <c r="M310">
        <v>1.387</v>
      </c>
      <c r="N310">
        <v>0.72099999999999997</v>
      </c>
      <c r="O310">
        <v>0.98399999999999999</v>
      </c>
      <c r="P310" s="2">
        <f t="shared" si="9"/>
        <v>1.3801512086039827</v>
      </c>
      <c r="Q310" t="str">
        <f t="shared" si="8"/>
        <v>esferica</v>
      </c>
    </row>
    <row r="311" spans="1:17" x14ac:dyDescent="0.35">
      <c r="A311" t="s">
        <v>15</v>
      </c>
      <c r="B311">
        <v>113.184</v>
      </c>
      <c r="C311">
        <v>129.56200000000001</v>
      </c>
      <c r="D311">
        <v>148</v>
      </c>
      <c r="E311">
        <v>60</v>
      </c>
      <c r="F311">
        <v>160</v>
      </c>
      <c r="G311">
        <v>44.53</v>
      </c>
      <c r="H311">
        <v>9.8309999999999995</v>
      </c>
      <c r="I311">
        <v>15.162000000000001</v>
      </c>
      <c r="J311">
        <v>0.71699999999999997</v>
      </c>
      <c r="K311">
        <v>14664.353999999999</v>
      </c>
      <c r="L311">
        <v>138</v>
      </c>
      <c r="M311">
        <v>1.6040000000000001</v>
      </c>
      <c r="N311">
        <v>0.623</v>
      </c>
      <c r="O311">
        <v>0.98099999999999998</v>
      </c>
      <c r="P311" s="2">
        <f t="shared" si="9"/>
        <v>1.54226426609704</v>
      </c>
      <c r="Q311" t="str">
        <f t="shared" si="8"/>
        <v>eliptica</v>
      </c>
    </row>
    <row r="312" spans="1:17" x14ac:dyDescent="0.35">
      <c r="A312" t="s">
        <v>15</v>
      </c>
      <c r="B312">
        <v>163.50299999999999</v>
      </c>
      <c r="C312">
        <v>127.88800000000001</v>
      </c>
      <c r="D312">
        <v>148</v>
      </c>
      <c r="E312">
        <v>59</v>
      </c>
      <c r="F312">
        <v>161</v>
      </c>
      <c r="G312">
        <v>58.14</v>
      </c>
      <c r="H312">
        <v>11.151999999999999</v>
      </c>
      <c r="I312">
        <v>18.488</v>
      </c>
      <c r="J312">
        <v>0.60799999999999998</v>
      </c>
      <c r="K312">
        <v>20910.121999999999</v>
      </c>
      <c r="L312">
        <v>134</v>
      </c>
      <c r="M312">
        <v>1.667</v>
      </c>
      <c r="N312">
        <v>0.6</v>
      </c>
      <c r="O312">
        <v>0.98199999999999998</v>
      </c>
      <c r="P312" s="2">
        <f t="shared" si="9"/>
        <v>1.6578192252510762</v>
      </c>
      <c r="Q312" t="str">
        <f t="shared" si="8"/>
        <v>eliptica</v>
      </c>
    </row>
    <row r="313" spans="1:17" x14ac:dyDescent="0.35">
      <c r="A313" t="s">
        <v>15</v>
      </c>
      <c r="B313">
        <v>130.23400000000001</v>
      </c>
      <c r="C313">
        <v>127.095</v>
      </c>
      <c r="D313">
        <v>147</v>
      </c>
      <c r="E313">
        <v>56</v>
      </c>
      <c r="F313">
        <v>159</v>
      </c>
      <c r="G313">
        <v>53.335999999999999</v>
      </c>
      <c r="H313">
        <v>10.173</v>
      </c>
      <c r="I313">
        <v>16.190000000000001</v>
      </c>
      <c r="J313">
        <v>0.57499999999999996</v>
      </c>
      <c r="K313">
        <v>16552.097000000002</v>
      </c>
      <c r="L313">
        <v>135</v>
      </c>
      <c r="M313">
        <v>1.5609999999999999</v>
      </c>
      <c r="N313">
        <v>0.64100000000000001</v>
      </c>
      <c r="O313">
        <v>0.97899999999999998</v>
      </c>
      <c r="P313" s="2">
        <f t="shared" si="9"/>
        <v>1.5914676103410992</v>
      </c>
      <c r="Q313" t="str">
        <f t="shared" si="8"/>
        <v>eliptica</v>
      </c>
    </row>
    <row r="314" spans="1:17" x14ac:dyDescent="0.35">
      <c r="A314" t="s">
        <v>15</v>
      </c>
      <c r="B314">
        <v>93.552999999999997</v>
      </c>
      <c r="C314">
        <v>120.44199999999999</v>
      </c>
      <c r="D314">
        <v>141</v>
      </c>
      <c r="E314">
        <v>59</v>
      </c>
      <c r="F314">
        <v>156</v>
      </c>
      <c r="G314">
        <v>41.14</v>
      </c>
      <c r="H314">
        <v>9.2929999999999993</v>
      </c>
      <c r="I314">
        <v>12.913</v>
      </c>
      <c r="J314">
        <v>0.69499999999999995</v>
      </c>
      <c r="K314">
        <v>11267.700999999999</v>
      </c>
      <c r="L314">
        <v>128</v>
      </c>
      <c r="M314">
        <v>1.3480000000000001</v>
      </c>
      <c r="N314">
        <v>0.74199999999999999</v>
      </c>
      <c r="O314">
        <v>0.97899999999999998</v>
      </c>
      <c r="P314" s="2">
        <f t="shared" si="9"/>
        <v>1.3895405143656516</v>
      </c>
      <c r="Q314" t="str">
        <f t="shared" si="8"/>
        <v>esferica</v>
      </c>
    </row>
    <row r="315" spans="1:17" x14ac:dyDescent="0.35">
      <c r="A315" t="s">
        <v>15</v>
      </c>
      <c r="B315">
        <v>83.698999999999998</v>
      </c>
      <c r="C315">
        <v>111.94799999999999</v>
      </c>
      <c r="D315">
        <v>127</v>
      </c>
      <c r="E315">
        <v>61</v>
      </c>
      <c r="F315">
        <v>144</v>
      </c>
      <c r="G315">
        <v>39.225000000000001</v>
      </c>
      <c r="H315">
        <v>8.4619999999999997</v>
      </c>
      <c r="I315">
        <v>12.815</v>
      </c>
      <c r="J315">
        <v>0.68400000000000005</v>
      </c>
      <c r="K315">
        <v>9369.9629999999997</v>
      </c>
      <c r="L315">
        <v>117</v>
      </c>
      <c r="M315">
        <v>1.48</v>
      </c>
      <c r="N315">
        <v>0.67500000000000004</v>
      </c>
      <c r="O315">
        <v>0.97199999999999998</v>
      </c>
      <c r="P315" s="2">
        <f t="shared" si="9"/>
        <v>1.5144173954147955</v>
      </c>
      <c r="Q315" t="str">
        <f t="shared" si="8"/>
        <v>eliptica</v>
      </c>
    </row>
    <row r="316" spans="1:17" x14ac:dyDescent="0.35">
      <c r="A316" t="s">
        <v>15</v>
      </c>
      <c r="B316">
        <v>100.687</v>
      </c>
      <c r="C316">
        <v>115.499</v>
      </c>
      <c r="D316">
        <v>134</v>
      </c>
      <c r="E316">
        <v>60</v>
      </c>
      <c r="F316">
        <v>147</v>
      </c>
      <c r="G316">
        <v>45.164000000000001</v>
      </c>
      <c r="H316">
        <v>10.173</v>
      </c>
      <c r="I316">
        <v>13.842000000000001</v>
      </c>
      <c r="J316">
        <v>0.62</v>
      </c>
      <c r="K316">
        <v>11629.161</v>
      </c>
      <c r="L316">
        <v>121</v>
      </c>
      <c r="M316">
        <v>1.659</v>
      </c>
      <c r="N316">
        <v>0.60299999999999998</v>
      </c>
      <c r="O316">
        <v>0.97099999999999997</v>
      </c>
      <c r="P316" s="2">
        <f t="shared" si="9"/>
        <v>1.3606605721026246</v>
      </c>
      <c r="Q316" t="str">
        <f t="shared" si="8"/>
        <v>esferica</v>
      </c>
    </row>
    <row r="317" spans="1:17" x14ac:dyDescent="0.35">
      <c r="A317" t="s">
        <v>15</v>
      </c>
      <c r="B317">
        <v>148.358</v>
      </c>
      <c r="C317">
        <v>118.61</v>
      </c>
      <c r="D317">
        <v>141</v>
      </c>
      <c r="E317">
        <v>58</v>
      </c>
      <c r="F317">
        <v>151</v>
      </c>
      <c r="G317">
        <v>54.5</v>
      </c>
      <c r="H317">
        <v>10.956</v>
      </c>
      <c r="I317">
        <v>16.873999999999999</v>
      </c>
      <c r="J317">
        <v>0.628</v>
      </c>
      <c r="K317">
        <v>17596.72</v>
      </c>
      <c r="L317">
        <v>124</v>
      </c>
      <c r="M317">
        <v>1.5740000000000001</v>
      </c>
      <c r="N317">
        <v>0.63500000000000001</v>
      </c>
      <c r="O317">
        <v>0.97899999999999998</v>
      </c>
      <c r="P317" s="2">
        <f t="shared" si="9"/>
        <v>1.5401606425702812</v>
      </c>
      <c r="Q317" t="str">
        <f t="shared" si="8"/>
        <v>eliptica</v>
      </c>
    </row>
    <row r="318" spans="1:17" x14ac:dyDescent="0.35">
      <c r="A318" t="s">
        <v>15</v>
      </c>
      <c r="B318">
        <v>124.667</v>
      </c>
      <c r="C318">
        <v>108.271</v>
      </c>
      <c r="D318">
        <v>121</v>
      </c>
      <c r="E318">
        <v>57</v>
      </c>
      <c r="F318">
        <v>143</v>
      </c>
      <c r="G318">
        <v>51.078000000000003</v>
      </c>
      <c r="H318">
        <v>11.054</v>
      </c>
      <c r="I318">
        <v>14.574999999999999</v>
      </c>
      <c r="J318">
        <v>0.6</v>
      </c>
      <c r="K318">
        <v>13497.842000000001</v>
      </c>
      <c r="L318">
        <v>111</v>
      </c>
      <c r="M318">
        <v>1.3939999999999999</v>
      </c>
      <c r="N318">
        <v>0.71699999999999997</v>
      </c>
      <c r="O318">
        <v>0.98</v>
      </c>
      <c r="P318" s="2">
        <f t="shared" si="9"/>
        <v>1.3185272299620046</v>
      </c>
      <c r="Q318" t="str">
        <f t="shared" si="8"/>
        <v>esferica</v>
      </c>
    </row>
    <row r="319" spans="1:17" x14ac:dyDescent="0.35">
      <c r="A319" t="s">
        <v>15</v>
      </c>
      <c r="B319">
        <v>101.82299999999999</v>
      </c>
      <c r="C319">
        <v>109.61</v>
      </c>
      <c r="D319">
        <v>131</v>
      </c>
      <c r="E319">
        <v>54</v>
      </c>
      <c r="F319">
        <v>142</v>
      </c>
      <c r="G319">
        <v>47.274999999999999</v>
      </c>
      <c r="H319">
        <v>9</v>
      </c>
      <c r="I319">
        <v>14.917999999999999</v>
      </c>
      <c r="J319">
        <v>0.57299999999999995</v>
      </c>
      <c r="K319">
        <v>11160.802</v>
      </c>
      <c r="L319">
        <v>115</v>
      </c>
      <c r="M319">
        <v>1.7629999999999999</v>
      </c>
      <c r="N319">
        <v>0.56699999999999995</v>
      </c>
      <c r="O319">
        <v>0.97799999999999998</v>
      </c>
      <c r="P319" s="2">
        <f t="shared" si="9"/>
        <v>1.6575555555555554</v>
      </c>
      <c r="Q319" t="str">
        <f t="shared" si="8"/>
        <v>eliptica</v>
      </c>
    </row>
    <row r="320" spans="1:17" x14ac:dyDescent="0.35">
      <c r="A320" t="s">
        <v>15</v>
      </c>
      <c r="B320">
        <v>66.635000000000005</v>
      </c>
      <c r="C320">
        <v>110.47799999999999</v>
      </c>
      <c r="D320">
        <v>124</v>
      </c>
      <c r="E320">
        <v>54</v>
      </c>
      <c r="F320">
        <v>163</v>
      </c>
      <c r="G320">
        <v>45.445</v>
      </c>
      <c r="H320">
        <v>7.3369999999999997</v>
      </c>
      <c r="I320">
        <v>12.766</v>
      </c>
      <c r="J320">
        <v>0.40500000000000003</v>
      </c>
      <c r="K320">
        <v>7361.6750000000002</v>
      </c>
      <c r="L320">
        <v>116</v>
      </c>
      <c r="M320">
        <v>1.7470000000000001</v>
      </c>
      <c r="N320">
        <v>0.57199999999999995</v>
      </c>
      <c r="O320">
        <v>0.93500000000000005</v>
      </c>
      <c r="P320" s="2">
        <f t="shared" si="9"/>
        <v>1.7399482077143247</v>
      </c>
      <c r="Q320" t="str">
        <f t="shared" si="8"/>
        <v>eliptica</v>
      </c>
    </row>
    <row r="321" spans="1:17" x14ac:dyDescent="0.35">
      <c r="A321" t="s">
        <v>15</v>
      </c>
      <c r="B321">
        <v>105.34399999999999</v>
      </c>
      <c r="C321">
        <v>117.078</v>
      </c>
      <c r="D321">
        <v>134</v>
      </c>
      <c r="E321">
        <v>54</v>
      </c>
      <c r="F321">
        <v>148</v>
      </c>
      <c r="G321">
        <v>45.542999999999999</v>
      </c>
      <c r="H321">
        <v>9.6349999999999998</v>
      </c>
      <c r="I321">
        <v>14.967000000000001</v>
      </c>
      <c r="J321">
        <v>0.63800000000000001</v>
      </c>
      <c r="K321">
        <v>12333.471</v>
      </c>
      <c r="L321">
        <v>122</v>
      </c>
      <c r="M321">
        <v>1.522</v>
      </c>
      <c r="N321">
        <v>0.65700000000000003</v>
      </c>
      <c r="O321">
        <v>0.97399999999999998</v>
      </c>
      <c r="P321" s="2">
        <f t="shared" si="9"/>
        <v>1.5533990659055528</v>
      </c>
      <c r="Q321" t="str">
        <f t="shared" si="8"/>
        <v>eliptica</v>
      </c>
    </row>
    <row r="322" spans="1:17" x14ac:dyDescent="0.35">
      <c r="A322" t="s">
        <v>15</v>
      </c>
      <c r="B322">
        <v>113.047</v>
      </c>
      <c r="C322">
        <v>134.76139377103999</v>
      </c>
      <c r="D322">
        <v>146</v>
      </c>
      <c r="E322">
        <v>64</v>
      </c>
      <c r="F322">
        <v>156</v>
      </c>
      <c r="G322">
        <v>49.58</v>
      </c>
      <c r="H322">
        <v>9.3420000000000005</v>
      </c>
      <c r="I322">
        <v>15.505000000000001</v>
      </c>
      <c r="J322">
        <v>0.57799999999999996</v>
      </c>
      <c r="K322">
        <v>13927.354085552055</v>
      </c>
      <c r="L322">
        <v>135</v>
      </c>
      <c r="M322">
        <v>1.6559999999999999</v>
      </c>
      <c r="N322">
        <v>0.60399999999999998</v>
      </c>
      <c r="O322">
        <v>0.97799999999999998</v>
      </c>
      <c r="P322" s="2">
        <f t="shared" si="9"/>
        <v>1.6597088417897667</v>
      </c>
      <c r="Q322" t="str">
        <f t="shared" ref="Q322:Q385" si="10">IF(P322&lt;1,"ovoide",IF(P322&lt;1.5,"esferica",IF(P322&lt;2,"eliptica","alongada")))</f>
        <v>eliptica</v>
      </c>
    </row>
    <row r="323" spans="1:17" x14ac:dyDescent="0.35">
      <c r="A323" t="s">
        <v>15</v>
      </c>
      <c r="B323">
        <v>125.827</v>
      </c>
      <c r="C323">
        <v>130.49139377103998</v>
      </c>
      <c r="D323">
        <v>155</v>
      </c>
      <c r="E323">
        <v>58</v>
      </c>
      <c r="F323">
        <v>167</v>
      </c>
      <c r="G323">
        <v>46.588000000000001</v>
      </c>
      <c r="H323">
        <v>10.907</v>
      </c>
      <c r="I323">
        <v>14.673</v>
      </c>
      <c r="J323">
        <v>0.72799999999999998</v>
      </c>
      <c r="K323">
        <v>16621.625085552056</v>
      </c>
      <c r="L323">
        <v>145</v>
      </c>
      <c r="M323">
        <v>1.331</v>
      </c>
      <c r="N323">
        <v>0.752</v>
      </c>
      <c r="O323">
        <v>0.98399999999999999</v>
      </c>
      <c r="P323" s="2">
        <f t="shared" ref="P323:P386" si="11">I323/H323</f>
        <v>1.3452828458787935</v>
      </c>
      <c r="Q323" t="str">
        <f t="shared" si="10"/>
        <v>esferica</v>
      </c>
    </row>
    <row r="324" spans="1:17" x14ac:dyDescent="0.35">
      <c r="A324" t="s">
        <v>15</v>
      </c>
      <c r="B324">
        <v>122.736</v>
      </c>
      <c r="C324">
        <v>132.97339377103998</v>
      </c>
      <c r="D324">
        <v>143</v>
      </c>
      <c r="E324">
        <v>65</v>
      </c>
      <c r="F324">
        <v>153</v>
      </c>
      <c r="G324">
        <v>47.34</v>
      </c>
      <c r="H324">
        <v>10.173</v>
      </c>
      <c r="I324">
        <v>14.722</v>
      </c>
      <c r="J324">
        <v>0.68799999999999994</v>
      </c>
      <c r="K324">
        <v>15092.936085552054</v>
      </c>
      <c r="L324">
        <v>135</v>
      </c>
      <c r="M324">
        <v>1.446</v>
      </c>
      <c r="N324">
        <v>0.69199999999999995</v>
      </c>
      <c r="O324">
        <v>0.98099999999999998</v>
      </c>
      <c r="P324" s="2">
        <f t="shared" si="11"/>
        <v>1.4471640617320358</v>
      </c>
      <c r="Q324" t="str">
        <f t="shared" si="10"/>
        <v>esferica</v>
      </c>
    </row>
    <row r="325" spans="1:17" x14ac:dyDescent="0.35">
      <c r="A325" t="s">
        <v>15</v>
      </c>
      <c r="B325">
        <v>62.531999999999996</v>
      </c>
      <c r="C325">
        <v>116.84639377103998</v>
      </c>
      <c r="D325">
        <v>97</v>
      </c>
      <c r="E325">
        <v>64</v>
      </c>
      <c r="F325">
        <v>151</v>
      </c>
      <c r="G325">
        <v>55.968000000000004</v>
      </c>
      <c r="H325">
        <v>9.9290000000000003</v>
      </c>
      <c r="I325">
        <v>10.417999999999999</v>
      </c>
      <c r="J325">
        <v>0.251</v>
      </c>
      <c r="K325">
        <v>5585.3350855520539</v>
      </c>
      <c r="L325">
        <v>113</v>
      </c>
      <c r="M325">
        <v>1.0369999999999999</v>
      </c>
      <c r="N325">
        <v>0.96399999999999997</v>
      </c>
      <c r="O325">
        <v>0.80600000000000005</v>
      </c>
      <c r="P325" s="2">
        <f t="shared" si="11"/>
        <v>1.0492496726759994</v>
      </c>
      <c r="Q325" t="str">
        <f t="shared" si="10"/>
        <v>esferica</v>
      </c>
    </row>
    <row r="326" spans="1:17" x14ac:dyDescent="0.35">
      <c r="A326" t="s">
        <v>15</v>
      </c>
      <c r="B326">
        <v>74.081999999999994</v>
      </c>
      <c r="C326">
        <v>122.87639377103997</v>
      </c>
      <c r="D326">
        <v>137</v>
      </c>
      <c r="E326">
        <v>64</v>
      </c>
      <c r="F326">
        <v>143</v>
      </c>
      <c r="G326">
        <v>39.908000000000001</v>
      </c>
      <c r="H326">
        <v>9.2439999999999998</v>
      </c>
      <c r="I326">
        <v>11.201000000000001</v>
      </c>
      <c r="J326">
        <v>0.58499999999999996</v>
      </c>
      <c r="K326">
        <v>7476.3170855520548</v>
      </c>
      <c r="L326">
        <v>125</v>
      </c>
      <c r="M326">
        <v>1.5089999999999999</v>
      </c>
      <c r="N326">
        <v>0.66200000000000003</v>
      </c>
      <c r="O326">
        <v>0.97</v>
      </c>
      <c r="P326" s="2">
        <f t="shared" si="11"/>
        <v>1.2117048896581568</v>
      </c>
      <c r="Q326" t="str">
        <f t="shared" si="10"/>
        <v>esferica</v>
      </c>
    </row>
    <row r="327" spans="1:17" x14ac:dyDescent="0.35">
      <c r="A327" t="s">
        <v>15</v>
      </c>
      <c r="B327">
        <v>122.339</v>
      </c>
      <c r="C327">
        <v>127.81739377103997</v>
      </c>
      <c r="D327">
        <v>155</v>
      </c>
      <c r="E327">
        <v>66</v>
      </c>
      <c r="F327">
        <v>163</v>
      </c>
      <c r="G327">
        <v>51.640999999999998</v>
      </c>
      <c r="H327">
        <v>10.222</v>
      </c>
      <c r="I327">
        <v>15.749000000000001</v>
      </c>
      <c r="J327">
        <v>0.57599999999999996</v>
      </c>
      <c r="K327">
        <v>16049.027085552054</v>
      </c>
      <c r="L327">
        <v>144</v>
      </c>
      <c r="M327">
        <v>1.5069999999999999</v>
      </c>
      <c r="N327">
        <v>0.66300000000000003</v>
      </c>
      <c r="O327">
        <v>0.96699999999999997</v>
      </c>
      <c r="P327" s="2">
        <f t="shared" si="11"/>
        <v>1.5406965368812366</v>
      </c>
      <c r="Q327" t="str">
        <f t="shared" si="10"/>
        <v>eliptica</v>
      </c>
    </row>
    <row r="328" spans="1:17" x14ac:dyDescent="0.35">
      <c r="A328" t="s">
        <v>15</v>
      </c>
      <c r="B328">
        <v>68.706000000000003</v>
      </c>
      <c r="C328">
        <v>119.32939377103997</v>
      </c>
      <c r="D328">
        <v>124</v>
      </c>
      <c r="E328">
        <v>65</v>
      </c>
      <c r="F328">
        <v>132</v>
      </c>
      <c r="G328">
        <v>38.728000000000002</v>
      </c>
      <c r="H328">
        <v>7.9720000000000004</v>
      </c>
      <c r="I328">
        <v>12.423</v>
      </c>
      <c r="J328">
        <v>0.57599999999999996</v>
      </c>
      <c r="K328">
        <v>6528.0200855520543</v>
      </c>
      <c r="L328">
        <v>121</v>
      </c>
      <c r="M328">
        <v>1.9239999999999999</v>
      </c>
      <c r="N328">
        <v>0.52</v>
      </c>
      <c r="O328">
        <v>0.97199999999999998</v>
      </c>
      <c r="P328" s="2">
        <f t="shared" si="11"/>
        <v>1.5583291520321123</v>
      </c>
      <c r="Q328" t="str">
        <f t="shared" si="10"/>
        <v>eliptica</v>
      </c>
    </row>
    <row r="329" spans="1:17" x14ac:dyDescent="0.35">
      <c r="A329" t="s">
        <v>15</v>
      </c>
      <c r="B329">
        <v>163.00800000000001</v>
      </c>
      <c r="C329">
        <v>128.34839377103998</v>
      </c>
      <c r="D329">
        <v>146</v>
      </c>
      <c r="E329">
        <v>66</v>
      </c>
      <c r="F329">
        <v>160</v>
      </c>
      <c r="G329">
        <v>51.737000000000002</v>
      </c>
      <c r="H329">
        <v>12.032</v>
      </c>
      <c r="I329">
        <v>16.63</v>
      </c>
      <c r="J329">
        <v>0.76500000000000001</v>
      </c>
      <c r="K329">
        <v>22090.874085552055</v>
      </c>
      <c r="L329">
        <v>143</v>
      </c>
      <c r="M329">
        <v>1.36</v>
      </c>
      <c r="N329">
        <v>0.73499999999999999</v>
      </c>
      <c r="O329">
        <v>0.98799999999999999</v>
      </c>
      <c r="P329" s="2">
        <f t="shared" si="11"/>
        <v>1.3821476063829787</v>
      </c>
      <c r="Q329" t="str">
        <f t="shared" si="10"/>
        <v>esferica</v>
      </c>
    </row>
    <row r="330" spans="1:17" x14ac:dyDescent="0.35">
      <c r="A330" t="s">
        <v>15</v>
      </c>
      <c r="B330">
        <v>123.033</v>
      </c>
      <c r="C330">
        <v>124.69239377103997</v>
      </c>
      <c r="D330">
        <v>132</v>
      </c>
      <c r="E330">
        <v>66</v>
      </c>
      <c r="F330">
        <v>141</v>
      </c>
      <c r="G330">
        <v>46.789000000000001</v>
      </c>
      <c r="H330">
        <v>10.76</v>
      </c>
      <c r="I330">
        <v>14.869</v>
      </c>
      <c r="J330">
        <v>0.70599999999999996</v>
      </c>
      <c r="K330">
        <v>14116.024085552053</v>
      </c>
      <c r="L330">
        <v>125</v>
      </c>
      <c r="M330">
        <v>1.48</v>
      </c>
      <c r="N330">
        <v>0.67600000000000005</v>
      </c>
      <c r="O330">
        <v>0.98399999999999999</v>
      </c>
      <c r="P330" s="2">
        <f t="shared" si="11"/>
        <v>1.3818773234200743</v>
      </c>
      <c r="Q330" t="str">
        <f t="shared" si="10"/>
        <v>esferica</v>
      </c>
    </row>
    <row r="331" spans="1:17" x14ac:dyDescent="0.35">
      <c r="A331" t="s">
        <v>15</v>
      </c>
      <c r="B331">
        <v>131.982</v>
      </c>
      <c r="C331">
        <v>129.84239377103998</v>
      </c>
      <c r="D331">
        <v>141</v>
      </c>
      <c r="E331">
        <v>48</v>
      </c>
      <c r="F331">
        <v>154</v>
      </c>
      <c r="G331">
        <v>57.228000000000002</v>
      </c>
      <c r="H331">
        <v>10.858000000000001</v>
      </c>
      <c r="I331">
        <v>15.798</v>
      </c>
      <c r="J331">
        <v>0.50600000000000001</v>
      </c>
      <c r="K331">
        <v>15985.086085552055</v>
      </c>
      <c r="L331">
        <v>132</v>
      </c>
      <c r="M331">
        <v>1.57</v>
      </c>
      <c r="N331">
        <v>0.63700000000000001</v>
      </c>
      <c r="O331">
        <v>0.96199999999999997</v>
      </c>
      <c r="P331" s="2">
        <f t="shared" si="11"/>
        <v>1.4549640817830172</v>
      </c>
      <c r="Q331" t="str">
        <f t="shared" si="10"/>
        <v>esferica</v>
      </c>
    </row>
    <row r="332" spans="1:17" x14ac:dyDescent="0.35">
      <c r="A332" t="s">
        <v>15</v>
      </c>
      <c r="B332">
        <v>112.878</v>
      </c>
      <c r="C332">
        <v>130.63439377103998</v>
      </c>
      <c r="D332">
        <v>132</v>
      </c>
      <c r="E332">
        <v>65</v>
      </c>
      <c r="F332">
        <v>154</v>
      </c>
      <c r="G332">
        <v>44.225999999999999</v>
      </c>
      <c r="H332">
        <v>9.391</v>
      </c>
      <c r="I332">
        <v>14.574999999999999</v>
      </c>
      <c r="J332">
        <v>0.72499999999999998</v>
      </c>
      <c r="K332">
        <v>13437.223085552054</v>
      </c>
      <c r="L332">
        <v>131</v>
      </c>
      <c r="M332">
        <v>1.528</v>
      </c>
      <c r="N332">
        <v>0.65400000000000003</v>
      </c>
      <c r="O332">
        <v>0.98499999999999999</v>
      </c>
      <c r="P332" s="2">
        <f t="shared" si="11"/>
        <v>1.5520178894686401</v>
      </c>
      <c r="Q332" t="str">
        <f t="shared" si="10"/>
        <v>eliptica</v>
      </c>
    </row>
    <row r="333" spans="1:17" x14ac:dyDescent="0.35">
      <c r="A333" t="s">
        <v>15</v>
      </c>
      <c r="B333">
        <v>121.643</v>
      </c>
      <c r="C333">
        <v>111.08339377103998</v>
      </c>
      <c r="D333">
        <v>113</v>
      </c>
      <c r="E333">
        <v>63</v>
      </c>
      <c r="F333">
        <v>122</v>
      </c>
      <c r="G333">
        <v>55.018999999999998</v>
      </c>
      <c r="H333">
        <v>10.076000000000001</v>
      </c>
      <c r="I333">
        <v>15.945</v>
      </c>
      <c r="J333">
        <v>0.505</v>
      </c>
      <c r="K333">
        <v>12275.883085552054</v>
      </c>
      <c r="L333">
        <v>111</v>
      </c>
      <c r="M333">
        <v>1.627</v>
      </c>
      <c r="N333">
        <v>0.61499999999999999</v>
      </c>
      <c r="O333">
        <v>0.97699999999999998</v>
      </c>
      <c r="P333" s="2">
        <f t="shared" si="11"/>
        <v>1.5824732036522429</v>
      </c>
      <c r="Q333" t="str">
        <f t="shared" si="10"/>
        <v>eliptica</v>
      </c>
    </row>
    <row r="334" spans="1:17" x14ac:dyDescent="0.35">
      <c r="A334" t="s">
        <v>15</v>
      </c>
      <c r="B334">
        <v>67.194999999999993</v>
      </c>
      <c r="C334">
        <v>122.52339377103999</v>
      </c>
      <c r="D334">
        <v>132</v>
      </c>
      <c r="E334">
        <v>65</v>
      </c>
      <c r="F334">
        <v>143</v>
      </c>
      <c r="G334">
        <v>36.281999999999996</v>
      </c>
      <c r="H334">
        <v>7.7770000000000001</v>
      </c>
      <c r="I334">
        <v>11.005000000000001</v>
      </c>
      <c r="J334">
        <v>0.64100000000000001</v>
      </c>
      <c r="K334">
        <v>6549.8040855520539</v>
      </c>
      <c r="L334">
        <v>124</v>
      </c>
      <c r="M334">
        <v>1.4319999999999999</v>
      </c>
      <c r="N334">
        <v>0.69799999999999995</v>
      </c>
      <c r="O334">
        <v>0.97399999999999998</v>
      </c>
      <c r="P334" s="2">
        <f t="shared" si="11"/>
        <v>1.4150700784364152</v>
      </c>
      <c r="Q334" t="str">
        <f t="shared" si="10"/>
        <v>esferica</v>
      </c>
    </row>
    <row r="335" spans="1:17" x14ac:dyDescent="0.35">
      <c r="A335" t="s">
        <v>15</v>
      </c>
      <c r="B335">
        <v>128.69999999999999</v>
      </c>
      <c r="C335">
        <v>131.47939377103998</v>
      </c>
      <c r="D335">
        <v>150</v>
      </c>
      <c r="E335">
        <v>65</v>
      </c>
      <c r="F335">
        <v>158</v>
      </c>
      <c r="G335">
        <v>52.570999999999998</v>
      </c>
      <c r="H335">
        <v>9.8800000000000008</v>
      </c>
      <c r="I335">
        <v>16.824999999999999</v>
      </c>
      <c r="J335">
        <v>0.58499999999999996</v>
      </c>
      <c r="K335">
        <v>15742.635085552054</v>
      </c>
      <c r="L335">
        <v>134</v>
      </c>
      <c r="M335">
        <v>1.659</v>
      </c>
      <c r="N335">
        <v>0.60299999999999998</v>
      </c>
      <c r="O335">
        <v>0.97699999999999998</v>
      </c>
      <c r="P335" s="2">
        <f t="shared" si="11"/>
        <v>1.7029352226720647</v>
      </c>
      <c r="Q335" t="str">
        <f t="shared" si="10"/>
        <v>eliptica</v>
      </c>
    </row>
    <row r="336" spans="1:17" x14ac:dyDescent="0.35">
      <c r="A336" t="s">
        <v>15</v>
      </c>
      <c r="B336">
        <v>48.372</v>
      </c>
      <c r="C336">
        <v>107.11839377103998</v>
      </c>
      <c r="D336">
        <v>108</v>
      </c>
      <c r="E336">
        <v>66</v>
      </c>
      <c r="F336">
        <v>123</v>
      </c>
      <c r="G336">
        <v>35.847999999999999</v>
      </c>
      <c r="H336">
        <v>6.1139999999999999</v>
      </c>
      <c r="I336">
        <v>10.369</v>
      </c>
      <c r="J336">
        <v>0.47299999999999998</v>
      </c>
      <c r="K336">
        <v>3344.1100855520544</v>
      </c>
      <c r="L336">
        <v>105</v>
      </c>
      <c r="M336">
        <v>1.748</v>
      </c>
      <c r="N336">
        <v>0.57199999999999995</v>
      </c>
      <c r="O336">
        <v>0.95799999999999996</v>
      </c>
      <c r="P336" s="2">
        <f t="shared" si="11"/>
        <v>1.6959437356885836</v>
      </c>
      <c r="Q336" t="str">
        <f t="shared" si="10"/>
        <v>eliptica</v>
      </c>
    </row>
    <row r="337" spans="1:17" x14ac:dyDescent="0.35">
      <c r="A337" t="s">
        <v>15</v>
      </c>
      <c r="B337">
        <v>153.85</v>
      </c>
      <c r="C337">
        <v>134.85939377103998</v>
      </c>
      <c r="D337">
        <v>150</v>
      </c>
      <c r="E337">
        <v>65</v>
      </c>
      <c r="F337">
        <v>157</v>
      </c>
      <c r="G337">
        <v>54.567</v>
      </c>
      <c r="H337">
        <v>10.271000000000001</v>
      </c>
      <c r="I337">
        <v>18.536999999999999</v>
      </c>
      <c r="J337">
        <v>0.64900000000000002</v>
      </c>
      <c r="K337">
        <v>19775.627085552052</v>
      </c>
      <c r="L337">
        <v>138</v>
      </c>
      <c r="M337">
        <v>1.8540000000000001</v>
      </c>
      <c r="N337">
        <v>0.53900000000000003</v>
      </c>
      <c r="O337">
        <v>0.97699999999999998</v>
      </c>
      <c r="P337" s="2">
        <f t="shared" si="11"/>
        <v>1.8047901859604709</v>
      </c>
      <c r="Q337" t="str">
        <f t="shared" si="10"/>
        <v>eliptica</v>
      </c>
    </row>
    <row r="338" spans="1:17" x14ac:dyDescent="0.35">
      <c r="A338" t="s">
        <v>15</v>
      </c>
      <c r="B338">
        <v>124.148</v>
      </c>
      <c r="C338">
        <v>114.49139377103998</v>
      </c>
      <c r="D338">
        <v>113</v>
      </c>
      <c r="E338">
        <v>64</v>
      </c>
      <c r="F338">
        <v>132</v>
      </c>
      <c r="G338">
        <v>56.295999999999999</v>
      </c>
      <c r="H338">
        <v>10.956</v>
      </c>
      <c r="I338">
        <v>15.407</v>
      </c>
      <c r="J338">
        <v>0.49199999999999999</v>
      </c>
      <c r="K338">
        <v>12997.715085552054</v>
      </c>
      <c r="L338">
        <v>115</v>
      </c>
      <c r="M338">
        <v>1.413</v>
      </c>
      <c r="N338">
        <v>0.70799999999999996</v>
      </c>
      <c r="O338">
        <v>0.97</v>
      </c>
      <c r="P338" s="2">
        <f t="shared" si="11"/>
        <v>1.4062614092734576</v>
      </c>
      <c r="Q338" t="str">
        <f t="shared" si="10"/>
        <v>esferica</v>
      </c>
    </row>
    <row r="339" spans="1:17" x14ac:dyDescent="0.35">
      <c r="A339" t="s">
        <v>15</v>
      </c>
      <c r="B339">
        <v>100.474</v>
      </c>
      <c r="C339">
        <v>126.53739377103997</v>
      </c>
      <c r="D339">
        <v>137</v>
      </c>
      <c r="E339">
        <v>62</v>
      </c>
      <c r="F339">
        <v>146</v>
      </c>
      <c r="G339">
        <v>47.225000000000001</v>
      </c>
      <c r="H339">
        <v>8.3640000000000008</v>
      </c>
      <c r="I339">
        <v>14.526999999999999</v>
      </c>
      <c r="J339">
        <v>0.56599999999999995</v>
      </c>
      <c r="K339">
        <v>11303.500085552054</v>
      </c>
      <c r="L339">
        <v>130</v>
      </c>
      <c r="M339">
        <v>1.7669999999999999</v>
      </c>
      <c r="N339">
        <v>0.56599999999999995</v>
      </c>
      <c r="O339">
        <v>0.97499999999999998</v>
      </c>
      <c r="P339" s="2">
        <f t="shared" si="11"/>
        <v>1.7368483978957434</v>
      </c>
      <c r="Q339" t="str">
        <f t="shared" si="10"/>
        <v>eliptica</v>
      </c>
    </row>
    <row r="340" spans="1:17" x14ac:dyDescent="0.35">
      <c r="A340" t="s">
        <v>15</v>
      </c>
      <c r="B340">
        <v>116.995</v>
      </c>
      <c r="C340">
        <v>134.25039377103997</v>
      </c>
      <c r="D340">
        <v>150</v>
      </c>
      <c r="E340">
        <v>66</v>
      </c>
      <c r="F340">
        <v>158</v>
      </c>
      <c r="G340">
        <v>45.764000000000003</v>
      </c>
      <c r="H340">
        <v>9.391</v>
      </c>
      <c r="I340">
        <v>15.162000000000001</v>
      </c>
      <c r="J340">
        <v>0.70199999999999996</v>
      </c>
      <c r="K340">
        <v>15352.549085552055</v>
      </c>
      <c r="L340">
        <v>145</v>
      </c>
      <c r="M340">
        <v>1.6160000000000001</v>
      </c>
      <c r="N340">
        <v>0.61899999999999999</v>
      </c>
      <c r="O340">
        <v>0.98299999999999998</v>
      </c>
      <c r="P340" s="2">
        <f t="shared" si="11"/>
        <v>1.6145245447769141</v>
      </c>
      <c r="Q340" t="str">
        <f t="shared" si="10"/>
        <v>eliptica</v>
      </c>
    </row>
    <row r="341" spans="1:17" x14ac:dyDescent="0.35">
      <c r="A341" t="s">
        <v>15</v>
      </c>
      <c r="B341">
        <v>118.85599999999999</v>
      </c>
      <c r="C341">
        <v>134.09339377103998</v>
      </c>
      <c r="D341">
        <v>141</v>
      </c>
      <c r="E341">
        <v>68</v>
      </c>
      <c r="F341">
        <v>169</v>
      </c>
      <c r="G341">
        <v>46.639000000000003</v>
      </c>
      <c r="H341">
        <v>9.9290000000000003</v>
      </c>
      <c r="I341">
        <v>14.917999999999999</v>
      </c>
      <c r="J341">
        <v>0.68700000000000006</v>
      </c>
      <c r="K341">
        <v>14678.350085552054</v>
      </c>
      <c r="L341">
        <v>137</v>
      </c>
      <c r="M341">
        <v>1.542</v>
      </c>
      <c r="N341">
        <v>0.64800000000000002</v>
      </c>
      <c r="O341">
        <v>0.98199999999999998</v>
      </c>
      <c r="P341" s="2">
        <f t="shared" si="11"/>
        <v>1.5024675193876522</v>
      </c>
      <c r="Q341" t="str">
        <f t="shared" si="10"/>
        <v>eliptica</v>
      </c>
    </row>
    <row r="342" spans="1:17" x14ac:dyDescent="0.35">
      <c r="A342" t="s">
        <v>15</v>
      </c>
      <c r="B342">
        <v>130.571</v>
      </c>
      <c r="C342">
        <v>130.24839377103999</v>
      </c>
      <c r="D342">
        <v>150</v>
      </c>
      <c r="E342">
        <v>64</v>
      </c>
      <c r="F342">
        <v>215</v>
      </c>
      <c r="G342">
        <v>52.981000000000002</v>
      </c>
      <c r="H342">
        <v>10.808999999999999</v>
      </c>
      <c r="I342">
        <v>17.07</v>
      </c>
      <c r="J342">
        <v>0.58499999999999996</v>
      </c>
      <c r="K342">
        <v>16953.101085552054</v>
      </c>
      <c r="L342">
        <v>141</v>
      </c>
      <c r="M342">
        <v>1.5509999999999999</v>
      </c>
      <c r="N342">
        <v>0.64500000000000002</v>
      </c>
      <c r="O342">
        <v>0.96699999999999997</v>
      </c>
      <c r="P342" s="2">
        <f t="shared" si="11"/>
        <v>1.5792395226200391</v>
      </c>
      <c r="Q342" t="str">
        <f t="shared" si="10"/>
        <v>eliptica</v>
      </c>
    </row>
    <row r="343" spans="1:17" x14ac:dyDescent="0.35">
      <c r="A343" t="s">
        <v>15</v>
      </c>
      <c r="B343">
        <v>103.651</v>
      </c>
      <c r="C343">
        <v>135.20439377103997</v>
      </c>
      <c r="D343">
        <v>141</v>
      </c>
      <c r="E343">
        <v>66</v>
      </c>
      <c r="F343">
        <v>149</v>
      </c>
      <c r="G343">
        <v>44.738</v>
      </c>
      <c r="H343">
        <v>9.5380000000000003</v>
      </c>
      <c r="I343">
        <v>15.603</v>
      </c>
      <c r="J343">
        <v>0.65100000000000002</v>
      </c>
      <c r="K343">
        <v>12629.829085552054</v>
      </c>
      <c r="L343">
        <v>137</v>
      </c>
      <c r="M343">
        <v>1.9770000000000001</v>
      </c>
      <c r="N343">
        <v>0.50600000000000001</v>
      </c>
      <c r="O343">
        <v>0.98</v>
      </c>
      <c r="P343" s="2">
        <f t="shared" si="11"/>
        <v>1.635877542461732</v>
      </c>
      <c r="Q343" t="str">
        <f t="shared" si="10"/>
        <v>eliptica</v>
      </c>
    </row>
    <row r="344" spans="1:17" x14ac:dyDescent="0.35">
      <c r="A344" t="s">
        <v>15</v>
      </c>
      <c r="B344">
        <v>103.59099999999999</v>
      </c>
      <c r="C344">
        <v>126.22239377103998</v>
      </c>
      <c r="D344">
        <v>141</v>
      </c>
      <c r="E344">
        <v>65</v>
      </c>
      <c r="F344">
        <v>150</v>
      </c>
      <c r="G344">
        <v>47.601999999999997</v>
      </c>
      <c r="H344">
        <v>8.8529999999999998</v>
      </c>
      <c r="I344">
        <v>14.771000000000001</v>
      </c>
      <c r="J344">
        <v>0.57399999999999995</v>
      </c>
      <c r="K344">
        <v>11690.828085552053</v>
      </c>
      <c r="L344">
        <v>129</v>
      </c>
      <c r="M344">
        <v>1.651</v>
      </c>
      <c r="N344">
        <v>0.60599999999999998</v>
      </c>
      <c r="O344">
        <v>0.97899999999999998</v>
      </c>
      <c r="P344" s="2">
        <f t="shared" si="11"/>
        <v>1.6684739636281487</v>
      </c>
      <c r="Q344" t="str">
        <f t="shared" si="10"/>
        <v>eliptica</v>
      </c>
    </row>
    <row r="345" spans="1:17" x14ac:dyDescent="0.35">
      <c r="A345" t="s">
        <v>15</v>
      </c>
      <c r="B345">
        <v>125.471</v>
      </c>
      <c r="C345">
        <v>135.78339377103998</v>
      </c>
      <c r="D345">
        <v>155</v>
      </c>
      <c r="E345">
        <v>55</v>
      </c>
      <c r="F345">
        <v>164</v>
      </c>
      <c r="G345">
        <v>49.238999999999997</v>
      </c>
      <c r="H345">
        <v>9.7330000000000005</v>
      </c>
      <c r="I345">
        <v>15.847</v>
      </c>
      <c r="J345">
        <v>0.65</v>
      </c>
      <c r="K345">
        <v>16684.995085552055</v>
      </c>
      <c r="L345">
        <v>146</v>
      </c>
      <c r="M345">
        <v>1.615</v>
      </c>
      <c r="N345">
        <v>0.61899999999999999</v>
      </c>
      <c r="O345">
        <v>0.97899999999999998</v>
      </c>
      <c r="P345" s="2">
        <f t="shared" si="11"/>
        <v>1.6281721976780026</v>
      </c>
      <c r="Q345" t="str">
        <f t="shared" si="10"/>
        <v>eliptica</v>
      </c>
    </row>
    <row r="346" spans="1:17" x14ac:dyDescent="0.35">
      <c r="A346" t="s">
        <v>15</v>
      </c>
      <c r="B346">
        <v>112.268</v>
      </c>
      <c r="C346">
        <v>138.54339377103997</v>
      </c>
      <c r="D346">
        <v>146</v>
      </c>
      <c r="E346">
        <v>65</v>
      </c>
      <c r="F346">
        <v>158</v>
      </c>
      <c r="G346">
        <v>44.942999999999998</v>
      </c>
      <c r="H346">
        <v>9.6349999999999998</v>
      </c>
      <c r="I346">
        <v>14.429</v>
      </c>
      <c r="J346">
        <v>0.69799999999999995</v>
      </c>
      <c r="K346">
        <v>14240.421085552054</v>
      </c>
      <c r="L346">
        <v>140</v>
      </c>
      <c r="M346">
        <v>1.5</v>
      </c>
      <c r="N346">
        <v>0.66700000000000004</v>
      </c>
      <c r="O346">
        <v>0.98199999999999998</v>
      </c>
      <c r="P346" s="2">
        <f t="shared" si="11"/>
        <v>1.4975609756097561</v>
      </c>
      <c r="Q346" t="str">
        <f t="shared" si="10"/>
        <v>esferica</v>
      </c>
    </row>
    <row r="347" spans="1:17" x14ac:dyDescent="0.35">
      <c r="A347" t="s">
        <v>15</v>
      </c>
      <c r="B347">
        <v>98.622</v>
      </c>
      <c r="C347">
        <v>115.89199285042321</v>
      </c>
      <c r="D347">
        <v>123</v>
      </c>
      <c r="E347">
        <v>52</v>
      </c>
      <c r="F347">
        <v>136</v>
      </c>
      <c r="G347">
        <v>48.17</v>
      </c>
      <c r="H347">
        <v>8.3149999999999995</v>
      </c>
      <c r="I347">
        <v>15.896000000000001</v>
      </c>
      <c r="J347">
        <v>0.53400000000000003</v>
      </c>
      <c r="K347">
        <v>9975.4</v>
      </c>
      <c r="L347">
        <v>124</v>
      </c>
      <c r="M347">
        <v>1.8460000000000001</v>
      </c>
      <c r="N347">
        <v>0.54200000000000004</v>
      </c>
      <c r="O347">
        <v>0.96099999999999997</v>
      </c>
      <c r="P347" s="2">
        <f t="shared" si="11"/>
        <v>1.9117257967528565</v>
      </c>
      <c r="Q347" t="str">
        <f t="shared" si="10"/>
        <v>eliptica</v>
      </c>
    </row>
    <row r="348" spans="1:17" x14ac:dyDescent="0.35">
      <c r="A348" t="s">
        <v>15</v>
      </c>
      <c r="B348">
        <v>128.71700000000001</v>
      </c>
      <c r="C348">
        <v>96.166992850423213</v>
      </c>
      <c r="D348">
        <v>95</v>
      </c>
      <c r="E348">
        <v>54</v>
      </c>
      <c r="F348">
        <v>242</v>
      </c>
      <c r="G348">
        <v>52.079000000000001</v>
      </c>
      <c r="H348">
        <v>10.125</v>
      </c>
      <c r="I348">
        <v>16.335999999999999</v>
      </c>
      <c r="J348">
        <v>0.59599999999999997</v>
      </c>
      <c r="K348">
        <v>10480.459999999999</v>
      </c>
      <c r="L348">
        <v>102</v>
      </c>
      <c r="M348">
        <v>1.5840000000000001</v>
      </c>
      <c r="N348">
        <v>0.63100000000000001</v>
      </c>
      <c r="O348">
        <v>0.97899999999999998</v>
      </c>
      <c r="P348" s="2">
        <f t="shared" si="11"/>
        <v>1.613432098765432</v>
      </c>
      <c r="Q348" t="str">
        <f t="shared" si="10"/>
        <v>eliptica</v>
      </c>
    </row>
    <row r="349" spans="1:17" x14ac:dyDescent="0.35">
      <c r="A349" t="s">
        <v>15</v>
      </c>
      <c r="B349">
        <v>122.349</v>
      </c>
      <c r="C349">
        <v>107.14599285042321</v>
      </c>
      <c r="D349">
        <v>107</v>
      </c>
      <c r="E349">
        <v>62</v>
      </c>
      <c r="F349">
        <v>119</v>
      </c>
      <c r="G349">
        <v>45.331000000000003</v>
      </c>
      <c r="H349">
        <v>11.103</v>
      </c>
      <c r="I349">
        <v>14.82</v>
      </c>
      <c r="J349">
        <v>0.748</v>
      </c>
      <c r="K349">
        <v>11305.296</v>
      </c>
      <c r="L349">
        <v>114</v>
      </c>
      <c r="M349">
        <v>1.3480000000000001</v>
      </c>
      <c r="N349">
        <v>0.74199999999999999</v>
      </c>
      <c r="O349">
        <v>0.98399999999999999</v>
      </c>
      <c r="P349" s="2">
        <f t="shared" si="11"/>
        <v>1.3347743853012699</v>
      </c>
      <c r="Q349" t="str">
        <f t="shared" si="10"/>
        <v>esferica</v>
      </c>
    </row>
    <row r="350" spans="1:17" x14ac:dyDescent="0.35">
      <c r="A350" t="s">
        <v>15</v>
      </c>
      <c r="B350">
        <v>87.927999999999997</v>
      </c>
      <c r="C350">
        <v>84.920992850423218</v>
      </c>
      <c r="D350">
        <v>79</v>
      </c>
      <c r="E350">
        <v>60</v>
      </c>
      <c r="F350">
        <v>99</v>
      </c>
      <c r="G350">
        <v>42.761000000000003</v>
      </c>
      <c r="H350">
        <v>8.4619999999999997</v>
      </c>
      <c r="I350">
        <v>13.646000000000001</v>
      </c>
      <c r="J350">
        <v>0.60399999999999998</v>
      </c>
      <c r="K350">
        <v>6170.59</v>
      </c>
      <c r="L350">
        <v>88</v>
      </c>
      <c r="M350">
        <v>1.67</v>
      </c>
      <c r="N350">
        <v>0.59899999999999998</v>
      </c>
      <c r="O350">
        <v>0.98</v>
      </c>
      <c r="P350" s="2">
        <f t="shared" si="11"/>
        <v>1.6126211297565589</v>
      </c>
      <c r="Q350" t="str">
        <f t="shared" si="10"/>
        <v>eliptica</v>
      </c>
    </row>
    <row r="351" spans="1:17" x14ac:dyDescent="0.35">
      <c r="A351" t="s">
        <v>15</v>
      </c>
      <c r="B351">
        <v>103.22</v>
      </c>
      <c r="C351">
        <v>124.12999285042321</v>
      </c>
      <c r="D351">
        <v>133</v>
      </c>
      <c r="E351">
        <v>58</v>
      </c>
      <c r="F351">
        <v>144</v>
      </c>
      <c r="G351">
        <v>41.613</v>
      </c>
      <c r="H351">
        <v>9.3420000000000005</v>
      </c>
      <c r="I351">
        <v>14.624000000000001</v>
      </c>
      <c r="J351">
        <v>0.749</v>
      </c>
      <c r="K351">
        <v>11290.800999999999</v>
      </c>
      <c r="L351">
        <v>135</v>
      </c>
      <c r="M351">
        <v>1.552</v>
      </c>
      <c r="N351">
        <v>0.64400000000000002</v>
      </c>
      <c r="O351">
        <v>0.98199999999999998</v>
      </c>
      <c r="P351" s="2">
        <f t="shared" si="11"/>
        <v>1.5654035538428601</v>
      </c>
      <c r="Q351" t="str">
        <f t="shared" si="10"/>
        <v>eliptica</v>
      </c>
    </row>
    <row r="352" spans="1:17" x14ac:dyDescent="0.35">
      <c r="A352" t="s">
        <v>15</v>
      </c>
      <c r="B352">
        <v>113.72</v>
      </c>
      <c r="C352">
        <v>120.02499285042322</v>
      </c>
      <c r="D352">
        <v>133</v>
      </c>
      <c r="E352">
        <v>54</v>
      </c>
      <c r="F352">
        <v>149</v>
      </c>
      <c r="G352">
        <v>46.366</v>
      </c>
      <c r="H352">
        <v>9.8309999999999995</v>
      </c>
      <c r="I352">
        <v>14.771000000000001</v>
      </c>
      <c r="J352">
        <v>0.66500000000000004</v>
      </c>
      <c r="K352">
        <v>11972.543</v>
      </c>
      <c r="L352">
        <v>130</v>
      </c>
      <c r="M352">
        <v>1.5009999999999999</v>
      </c>
      <c r="N352">
        <v>0.66600000000000004</v>
      </c>
      <c r="O352">
        <v>0.98099999999999998</v>
      </c>
      <c r="P352" s="2">
        <f t="shared" si="11"/>
        <v>1.5024921167734717</v>
      </c>
      <c r="Q352" t="str">
        <f t="shared" si="10"/>
        <v>eliptica</v>
      </c>
    </row>
    <row r="353" spans="1:17" x14ac:dyDescent="0.35">
      <c r="A353" t="s">
        <v>15</v>
      </c>
      <c r="B353">
        <v>116.129</v>
      </c>
      <c r="C353">
        <v>100.89199285042321</v>
      </c>
      <c r="D353">
        <v>101</v>
      </c>
      <c r="E353">
        <v>52</v>
      </c>
      <c r="F353">
        <v>114</v>
      </c>
      <c r="G353">
        <v>48.398000000000003</v>
      </c>
      <c r="H353">
        <v>10.271000000000001</v>
      </c>
      <c r="I353">
        <v>14.673</v>
      </c>
      <c r="J353">
        <v>0.623</v>
      </c>
      <c r="K353">
        <v>10004.291999999999</v>
      </c>
      <c r="L353">
        <v>110</v>
      </c>
      <c r="M353">
        <v>1.4610000000000001</v>
      </c>
      <c r="N353">
        <v>0.68400000000000005</v>
      </c>
      <c r="O353">
        <v>0.98099999999999998</v>
      </c>
      <c r="P353" s="2">
        <f t="shared" si="11"/>
        <v>1.4285853373576087</v>
      </c>
      <c r="Q353" t="str">
        <f t="shared" si="10"/>
        <v>esferica</v>
      </c>
    </row>
    <row r="354" spans="1:17" x14ac:dyDescent="0.35">
      <c r="A354" t="s">
        <v>15</v>
      </c>
      <c r="B354">
        <v>138.62299999999999</v>
      </c>
      <c r="C354">
        <v>114.03599285042321</v>
      </c>
      <c r="D354">
        <v>117</v>
      </c>
      <c r="E354">
        <v>62</v>
      </c>
      <c r="F354">
        <v>130</v>
      </c>
      <c r="G354">
        <v>48.137999999999998</v>
      </c>
      <c r="H354">
        <v>11.542999999999999</v>
      </c>
      <c r="I354">
        <v>15.113</v>
      </c>
      <c r="J354">
        <v>0.752</v>
      </c>
      <c r="K354">
        <v>13764.144</v>
      </c>
      <c r="L354">
        <v>121</v>
      </c>
      <c r="M354">
        <v>1.3069999999999999</v>
      </c>
      <c r="N354">
        <v>0.76500000000000001</v>
      </c>
      <c r="O354">
        <v>0.98099999999999998</v>
      </c>
      <c r="P354" s="2">
        <f t="shared" si="11"/>
        <v>1.3092783505154639</v>
      </c>
      <c r="Q354" t="str">
        <f t="shared" si="10"/>
        <v>esferica</v>
      </c>
    </row>
    <row r="355" spans="1:17" x14ac:dyDescent="0.35">
      <c r="A355" t="s">
        <v>15</v>
      </c>
      <c r="B355">
        <v>104.00700000000001</v>
      </c>
      <c r="C355">
        <v>115.58999285042322</v>
      </c>
      <c r="D355">
        <v>123</v>
      </c>
      <c r="E355">
        <v>66</v>
      </c>
      <c r="F355">
        <v>137</v>
      </c>
      <c r="G355">
        <v>41.584000000000003</v>
      </c>
      <c r="H355">
        <v>9</v>
      </c>
      <c r="I355">
        <v>14.38</v>
      </c>
      <c r="J355">
        <v>0.75600000000000001</v>
      </c>
      <c r="K355">
        <v>10488.694</v>
      </c>
      <c r="L355">
        <v>122</v>
      </c>
      <c r="M355">
        <v>1.5549999999999999</v>
      </c>
      <c r="N355">
        <v>0.64300000000000002</v>
      </c>
      <c r="O355">
        <v>0.98499999999999999</v>
      </c>
      <c r="P355" s="2">
        <f t="shared" si="11"/>
        <v>1.597777777777778</v>
      </c>
      <c r="Q355" t="str">
        <f t="shared" si="10"/>
        <v>eliptica</v>
      </c>
    </row>
    <row r="356" spans="1:17" x14ac:dyDescent="0.35">
      <c r="A356" t="s">
        <v>15</v>
      </c>
      <c r="B356">
        <v>129.011</v>
      </c>
      <c r="C356">
        <v>99.996992850423212</v>
      </c>
      <c r="D356">
        <v>95</v>
      </c>
      <c r="E356">
        <v>60</v>
      </c>
      <c r="F356">
        <v>114</v>
      </c>
      <c r="G356">
        <v>47.942</v>
      </c>
      <c r="H356">
        <v>10.076000000000001</v>
      </c>
      <c r="I356">
        <v>16.091999999999999</v>
      </c>
      <c r="J356">
        <v>0.70499999999999996</v>
      </c>
      <c r="K356">
        <v>10998.605</v>
      </c>
      <c r="L356">
        <v>106</v>
      </c>
      <c r="M356">
        <v>1.6080000000000001</v>
      </c>
      <c r="N356">
        <v>0.622</v>
      </c>
      <c r="O356">
        <v>0.98499999999999999</v>
      </c>
      <c r="P356" s="2">
        <f t="shared" si="11"/>
        <v>1.5970623263199681</v>
      </c>
      <c r="Q356" t="str">
        <f t="shared" si="10"/>
        <v>eliptica</v>
      </c>
    </row>
    <row r="357" spans="1:17" x14ac:dyDescent="0.35">
      <c r="A357" t="s">
        <v>15</v>
      </c>
      <c r="B357">
        <v>107.89</v>
      </c>
      <c r="C357">
        <v>112.38799285042322</v>
      </c>
      <c r="D357">
        <v>128</v>
      </c>
      <c r="E357">
        <v>56</v>
      </c>
      <c r="F357">
        <v>140</v>
      </c>
      <c r="G357">
        <v>49.545999999999999</v>
      </c>
      <c r="H357">
        <v>10.076000000000001</v>
      </c>
      <c r="I357">
        <v>15.407</v>
      </c>
      <c r="J357">
        <v>0.55200000000000005</v>
      </c>
      <c r="K357">
        <v>10534.82</v>
      </c>
      <c r="L357">
        <v>120</v>
      </c>
      <c r="M357">
        <v>1.8440000000000001</v>
      </c>
      <c r="N357">
        <v>0.54200000000000004</v>
      </c>
      <c r="O357">
        <v>0.97699999999999998</v>
      </c>
      <c r="P357" s="2">
        <f t="shared" si="11"/>
        <v>1.529078999603017</v>
      </c>
      <c r="Q357" t="str">
        <f t="shared" si="10"/>
        <v>eliptica</v>
      </c>
    </row>
    <row r="358" spans="1:17" x14ac:dyDescent="0.35">
      <c r="A358" t="s">
        <v>15</v>
      </c>
      <c r="B358">
        <v>109.30800000000001</v>
      </c>
      <c r="C358">
        <v>122.00299285042321</v>
      </c>
      <c r="D358">
        <v>128</v>
      </c>
      <c r="E358">
        <v>54</v>
      </c>
      <c r="F358">
        <v>142</v>
      </c>
      <c r="G358">
        <v>46.226999999999997</v>
      </c>
      <c r="H358">
        <v>8.8040000000000003</v>
      </c>
      <c r="I358">
        <v>15.798</v>
      </c>
      <c r="J358">
        <v>0.64300000000000002</v>
      </c>
      <c r="K358">
        <v>11724.316999999999</v>
      </c>
      <c r="L358">
        <v>133</v>
      </c>
      <c r="M358">
        <v>1.794</v>
      </c>
      <c r="N358">
        <v>0.55700000000000005</v>
      </c>
      <c r="O358">
        <v>0.97899999999999998</v>
      </c>
      <c r="P358" s="2">
        <f t="shared" si="11"/>
        <v>1.7944116310767833</v>
      </c>
      <c r="Q358" t="str">
        <f t="shared" si="10"/>
        <v>eliptica</v>
      </c>
    </row>
    <row r="359" spans="1:17" x14ac:dyDescent="0.35">
      <c r="A359" t="s">
        <v>15</v>
      </c>
      <c r="B359">
        <v>109.27</v>
      </c>
      <c r="C359">
        <v>110.10999285042321</v>
      </c>
      <c r="D359">
        <v>117</v>
      </c>
      <c r="E359">
        <v>58</v>
      </c>
      <c r="F359">
        <v>131</v>
      </c>
      <c r="G359">
        <v>45.654000000000003</v>
      </c>
      <c r="H359">
        <v>9.44</v>
      </c>
      <c r="I359">
        <v>15.26</v>
      </c>
      <c r="J359">
        <v>0.65900000000000003</v>
      </c>
      <c r="K359">
        <v>10420.672</v>
      </c>
      <c r="L359">
        <v>117</v>
      </c>
      <c r="M359">
        <v>1.657</v>
      </c>
      <c r="N359">
        <v>0.60299999999999998</v>
      </c>
      <c r="O359">
        <v>0.97699999999999998</v>
      </c>
      <c r="P359" s="2">
        <f t="shared" si="11"/>
        <v>1.6165254237288136</v>
      </c>
      <c r="Q359" t="str">
        <f t="shared" si="10"/>
        <v>eliptica</v>
      </c>
    </row>
    <row r="360" spans="1:17" x14ac:dyDescent="0.35">
      <c r="A360" t="s">
        <v>15</v>
      </c>
      <c r="B360">
        <v>89.671999999999997</v>
      </c>
      <c r="C360">
        <v>115.97599285042321</v>
      </c>
      <c r="D360">
        <v>123</v>
      </c>
      <c r="E360">
        <v>64</v>
      </c>
      <c r="F360">
        <v>135</v>
      </c>
      <c r="G360">
        <v>42.128</v>
      </c>
      <c r="H360">
        <v>9.0489999999999995</v>
      </c>
      <c r="I360">
        <v>13.744</v>
      </c>
      <c r="J360">
        <v>0.63500000000000001</v>
      </c>
      <c r="K360">
        <v>9077.7099999999991</v>
      </c>
      <c r="L360">
        <v>125</v>
      </c>
      <c r="M360">
        <v>1.59</v>
      </c>
      <c r="N360">
        <v>0.629</v>
      </c>
      <c r="O360">
        <v>0.97499999999999998</v>
      </c>
      <c r="P360" s="2">
        <f t="shared" si="11"/>
        <v>1.5188418609791137</v>
      </c>
      <c r="Q360" t="str">
        <f t="shared" si="10"/>
        <v>eliptica</v>
      </c>
    </row>
    <row r="361" spans="1:17" x14ac:dyDescent="0.35">
      <c r="A361" t="s">
        <v>15</v>
      </c>
      <c r="B361">
        <v>73.747</v>
      </c>
      <c r="C361">
        <v>115.97299285042321</v>
      </c>
      <c r="D361">
        <v>129</v>
      </c>
      <c r="E361">
        <v>60</v>
      </c>
      <c r="F361">
        <v>140</v>
      </c>
      <c r="G361">
        <v>36.563000000000002</v>
      </c>
      <c r="H361">
        <v>9.7330000000000005</v>
      </c>
      <c r="I361">
        <v>9.9779999999999998</v>
      </c>
      <c r="J361">
        <v>0.69299999999999995</v>
      </c>
      <c r="K361">
        <v>7465.3620000000001</v>
      </c>
      <c r="L361">
        <v>126</v>
      </c>
      <c r="M361">
        <v>1.1479999999999999</v>
      </c>
      <c r="N361">
        <v>0.871</v>
      </c>
      <c r="O361">
        <v>0.96399999999999997</v>
      </c>
      <c r="P361" s="2">
        <f t="shared" si="11"/>
        <v>1.025172094934758</v>
      </c>
      <c r="Q361" t="str">
        <f t="shared" si="10"/>
        <v>esferica</v>
      </c>
    </row>
    <row r="362" spans="1:17" x14ac:dyDescent="0.35">
      <c r="A362" t="s">
        <v>15</v>
      </c>
      <c r="B362">
        <v>93.844999999999999</v>
      </c>
      <c r="C362">
        <v>128.14199285042321</v>
      </c>
      <c r="D362">
        <v>144</v>
      </c>
      <c r="E362">
        <v>54</v>
      </c>
      <c r="F362">
        <v>160</v>
      </c>
      <c r="G362">
        <v>39.597999999999999</v>
      </c>
      <c r="H362">
        <v>11.103</v>
      </c>
      <c r="I362">
        <v>11.396000000000001</v>
      </c>
      <c r="J362">
        <v>0.752</v>
      </c>
      <c r="K362">
        <v>10641.76</v>
      </c>
      <c r="L362">
        <v>137</v>
      </c>
      <c r="M362">
        <v>1.052</v>
      </c>
      <c r="N362">
        <v>0.95</v>
      </c>
      <c r="O362">
        <v>0.97599999999999998</v>
      </c>
      <c r="P362" s="2">
        <f t="shared" si="11"/>
        <v>1.0263892641628389</v>
      </c>
      <c r="Q362" t="str">
        <f t="shared" si="10"/>
        <v>esferica</v>
      </c>
    </row>
    <row r="363" spans="1:17" x14ac:dyDescent="0.35">
      <c r="A363" t="s">
        <v>15</v>
      </c>
      <c r="B363">
        <v>96.968999999999994</v>
      </c>
      <c r="C363">
        <v>93.896992850423217</v>
      </c>
      <c r="D363">
        <v>95</v>
      </c>
      <c r="E363">
        <v>58</v>
      </c>
      <c r="F363">
        <v>110</v>
      </c>
      <c r="G363">
        <v>48.472000000000001</v>
      </c>
      <c r="H363">
        <v>8.4619999999999997</v>
      </c>
      <c r="I363">
        <v>15.358000000000001</v>
      </c>
      <c r="J363">
        <v>0.51900000000000002</v>
      </c>
      <c r="K363">
        <v>7675.366</v>
      </c>
      <c r="L363">
        <v>100</v>
      </c>
      <c r="M363">
        <v>1.835</v>
      </c>
      <c r="N363">
        <v>0.54500000000000004</v>
      </c>
      <c r="O363">
        <v>0.96899999999999997</v>
      </c>
      <c r="P363" s="2">
        <f t="shared" si="11"/>
        <v>1.8149373670527063</v>
      </c>
      <c r="Q363" t="str">
        <f t="shared" si="10"/>
        <v>eliptica</v>
      </c>
    </row>
    <row r="364" spans="1:17" x14ac:dyDescent="0.35">
      <c r="A364" t="s">
        <v>15</v>
      </c>
      <c r="B364">
        <v>164.065</v>
      </c>
      <c r="C364">
        <v>147.50199285042322</v>
      </c>
      <c r="D364">
        <v>160</v>
      </c>
      <c r="E364">
        <v>64</v>
      </c>
      <c r="F364">
        <v>171</v>
      </c>
      <c r="G364">
        <v>53.082000000000001</v>
      </c>
      <c r="H364">
        <v>11.641</v>
      </c>
      <c r="I364">
        <v>18.439</v>
      </c>
      <c r="J364">
        <v>0.73199999999999998</v>
      </c>
      <c r="K364">
        <v>21781.011999999999</v>
      </c>
      <c r="L364">
        <v>162</v>
      </c>
      <c r="M364">
        <v>1.6339999999999999</v>
      </c>
      <c r="N364">
        <v>0.61199999999999999</v>
      </c>
      <c r="O364">
        <v>0.98399999999999999</v>
      </c>
      <c r="P364" s="2">
        <f t="shared" si="11"/>
        <v>1.5839704492741173</v>
      </c>
      <c r="Q364" t="str">
        <f t="shared" si="10"/>
        <v>eliptica</v>
      </c>
    </row>
    <row r="365" spans="1:17" x14ac:dyDescent="0.35">
      <c r="A365" t="s">
        <v>15</v>
      </c>
      <c r="B365">
        <v>139.93</v>
      </c>
      <c r="C365">
        <v>127.24899285042321</v>
      </c>
      <c r="D365">
        <v>139</v>
      </c>
      <c r="E365">
        <v>52</v>
      </c>
      <c r="F365">
        <v>153</v>
      </c>
      <c r="G365">
        <v>51.067</v>
      </c>
      <c r="H365">
        <v>11.347</v>
      </c>
      <c r="I365">
        <v>16.286999999999999</v>
      </c>
      <c r="J365">
        <v>0.67400000000000004</v>
      </c>
      <c r="K365">
        <v>15742.817999999999</v>
      </c>
      <c r="L365">
        <v>136</v>
      </c>
      <c r="M365">
        <v>1.595</v>
      </c>
      <c r="N365">
        <v>0.627</v>
      </c>
      <c r="O365">
        <v>0.98</v>
      </c>
      <c r="P365" s="2">
        <f t="shared" si="11"/>
        <v>1.435357363179695</v>
      </c>
      <c r="Q365" t="str">
        <f t="shared" si="10"/>
        <v>esferica</v>
      </c>
    </row>
    <row r="366" spans="1:17" x14ac:dyDescent="0.35">
      <c r="A366" t="s">
        <v>15</v>
      </c>
      <c r="B366">
        <v>97.83</v>
      </c>
      <c r="C366">
        <v>93.840992850423206</v>
      </c>
      <c r="D366">
        <v>95</v>
      </c>
      <c r="E366">
        <v>58</v>
      </c>
      <c r="F366">
        <v>109</v>
      </c>
      <c r="G366">
        <v>47.052999999999997</v>
      </c>
      <c r="H366">
        <v>8.6080000000000005</v>
      </c>
      <c r="I366">
        <v>15.505000000000001</v>
      </c>
      <c r="J366">
        <v>0.55500000000000005</v>
      </c>
      <c r="K366">
        <v>7738.1130000000003</v>
      </c>
      <c r="L366">
        <v>100</v>
      </c>
      <c r="M366">
        <v>1.863</v>
      </c>
      <c r="N366">
        <v>0.53700000000000003</v>
      </c>
      <c r="O366">
        <v>0.97699999999999998</v>
      </c>
      <c r="P366" s="2">
        <f t="shared" si="11"/>
        <v>1.8012314126394051</v>
      </c>
      <c r="Q366" t="str">
        <f t="shared" si="10"/>
        <v>eliptica</v>
      </c>
    </row>
    <row r="367" spans="1:17" x14ac:dyDescent="0.35">
      <c r="A367" t="s">
        <v>15</v>
      </c>
      <c r="B367">
        <v>158.64400000000001</v>
      </c>
      <c r="C367">
        <v>129.64899285042321</v>
      </c>
      <c r="D367">
        <v>133</v>
      </c>
      <c r="E367">
        <v>58</v>
      </c>
      <c r="F367">
        <v>159</v>
      </c>
      <c r="G367">
        <v>50.521000000000001</v>
      </c>
      <c r="H367">
        <v>11.739000000000001</v>
      </c>
      <c r="I367">
        <v>16.922999999999998</v>
      </c>
      <c r="J367">
        <v>0.78100000000000003</v>
      </c>
      <c r="K367">
        <v>18228.993999999999</v>
      </c>
      <c r="L367">
        <v>139</v>
      </c>
      <c r="M367">
        <v>1.411</v>
      </c>
      <c r="N367">
        <v>0.70899999999999996</v>
      </c>
      <c r="O367">
        <v>0.98599999999999999</v>
      </c>
      <c r="P367" s="2">
        <f t="shared" si="11"/>
        <v>1.4416049067211856</v>
      </c>
      <c r="Q367" t="str">
        <f t="shared" si="10"/>
        <v>esferica</v>
      </c>
    </row>
    <row r="368" spans="1:17" x14ac:dyDescent="0.35">
      <c r="A368" t="s">
        <v>15</v>
      </c>
      <c r="B368">
        <v>115.306</v>
      </c>
      <c r="C368">
        <v>131.40499285042321</v>
      </c>
      <c r="D368">
        <v>144</v>
      </c>
      <c r="E368">
        <v>58</v>
      </c>
      <c r="F368">
        <v>157</v>
      </c>
      <c r="G368">
        <v>42.881999999999998</v>
      </c>
      <c r="H368">
        <v>10.712</v>
      </c>
      <c r="I368">
        <v>13.792999999999999</v>
      </c>
      <c r="J368">
        <v>0.78800000000000003</v>
      </c>
      <c r="K368">
        <v>13451.733</v>
      </c>
      <c r="L368">
        <v>141</v>
      </c>
      <c r="M368">
        <v>1.2729999999999999</v>
      </c>
      <c r="N368">
        <v>0.78600000000000003</v>
      </c>
      <c r="O368">
        <v>0.98199999999999998</v>
      </c>
      <c r="P368" s="2">
        <f t="shared" si="11"/>
        <v>1.287621359223301</v>
      </c>
      <c r="Q368" t="str">
        <f t="shared" si="10"/>
        <v>esferica</v>
      </c>
    </row>
    <row r="369" spans="1:17" x14ac:dyDescent="0.35">
      <c r="A369" t="s">
        <v>15</v>
      </c>
      <c r="B369">
        <v>203.60300000000001</v>
      </c>
      <c r="C369">
        <v>130.08799285042321</v>
      </c>
      <c r="D369">
        <v>136</v>
      </c>
      <c r="E369">
        <v>50</v>
      </c>
      <c r="F369">
        <v>152</v>
      </c>
      <c r="G369">
        <v>62.726999999999997</v>
      </c>
      <c r="H369">
        <v>12.619</v>
      </c>
      <c r="I369">
        <v>21.178000000000001</v>
      </c>
      <c r="J369">
        <v>0.65</v>
      </c>
      <c r="K369">
        <v>23484.362000000001</v>
      </c>
      <c r="L369">
        <v>140</v>
      </c>
      <c r="M369">
        <v>1.784</v>
      </c>
      <c r="N369">
        <v>0.56100000000000005</v>
      </c>
      <c r="O369">
        <v>0.97799999999999998</v>
      </c>
      <c r="P369" s="2">
        <f t="shared" si="11"/>
        <v>1.6782629368412711</v>
      </c>
      <c r="Q369" t="str">
        <f t="shared" si="10"/>
        <v>eliptica</v>
      </c>
    </row>
    <row r="370" spans="1:17" x14ac:dyDescent="0.35">
      <c r="A370" t="s">
        <v>15</v>
      </c>
      <c r="B370">
        <v>101.85599999999999</v>
      </c>
      <c r="C370">
        <v>127.51899285042322</v>
      </c>
      <c r="D370">
        <v>133</v>
      </c>
      <c r="E370">
        <v>56</v>
      </c>
      <c r="F370">
        <v>152</v>
      </c>
      <c r="G370">
        <v>42.537999999999997</v>
      </c>
      <c r="H370">
        <v>9.3420000000000005</v>
      </c>
      <c r="I370">
        <v>14.478</v>
      </c>
      <c r="J370">
        <v>0.70699999999999996</v>
      </c>
      <c r="K370">
        <v>11486.873</v>
      </c>
      <c r="L370">
        <v>140</v>
      </c>
      <c r="M370">
        <v>1.597</v>
      </c>
      <c r="N370">
        <v>0.626</v>
      </c>
      <c r="O370">
        <v>0.97299999999999998</v>
      </c>
      <c r="P370" s="2">
        <f t="shared" si="11"/>
        <v>1.5497752087347463</v>
      </c>
      <c r="Q370" t="str">
        <f t="shared" si="10"/>
        <v>eliptica</v>
      </c>
    </row>
    <row r="371" spans="1:17" x14ac:dyDescent="0.35">
      <c r="A371" t="s">
        <v>15</v>
      </c>
      <c r="B371">
        <v>127.916</v>
      </c>
      <c r="C371">
        <v>127.27599285042321</v>
      </c>
      <c r="D371">
        <v>144</v>
      </c>
      <c r="E371">
        <v>52</v>
      </c>
      <c r="F371">
        <v>177</v>
      </c>
      <c r="G371">
        <v>46.393999999999998</v>
      </c>
      <c r="H371">
        <v>11.25</v>
      </c>
      <c r="I371">
        <v>14.478</v>
      </c>
      <c r="J371">
        <v>0.747</v>
      </c>
      <c r="K371">
        <v>14394.629000000001</v>
      </c>
      <c r="L371">
        <v>135</v>
      </c>
      <c r="M371">
        <v>1.351</v>
      </c>
      <c r="N371">
        <v>0.74</v>
      </c>
      <c r="O371">
        <v>0.98</v>
      </c>
      <c r="P371" s="2">
        <f t="shared" si="11"/>
        <v>1.2869333333333333</v>
      </c>
      <c r="Q371" t="str">
        <f t="shared" si="10"/>
        <v>esferica</v>
      </c>
    </row>
    <row r="372" spans="1:17" x14ac:dyDescent="0.35">
      <c r="A372" t="s">
        <v>15</v>
      </c>
      <c r="B372">
        <v>115.363</v>
      </c>
      <c r="C372">
        <v>126.997</v>
      </c>
      <c r="D372">
        <v>143</v>
      </c>
      <c r="E372">
        <v>65</v>
      </c>
      <c r="F372">
        <v>161</v>
      </c>
      <c r="G372">
        <v>48.621000000000002</v>
      </c>
      <c r="H372">
        <v>8.3149999999999995</v>
      </c>
      <c r="I372">
        <v>17.07</v>
      </c>
      <c r="J372">
        <v>0.61299999999999999</v>
      </c>
      <c r="K372">
        <v>14650.761</v>
      </c>
      <c r="L372">
        <v>132</v>
      </c>
      <c r="M372">
        <v>2.048</v>
      </c>
      <c r="N372">
        <v>0.48799999999999999</v>
      </c>
      <c r="O372">
        <v>0.98299999999999998</v>
      </c>
      <c r="P372" s="2">
        <f t="shared" si="11"/>
        <v>2.0529164161154543</v>
      </c>
      <c r="Q372" t="str">
        <f t="shared" si="10"/>
        <v>alongada</v>
      </c>
    </row>
    <row r="373" spans="1:17" x14ac:dyDescent="0.35">
      <c r="A373" t="s">
        <v>15</v>
      </c>
      <c r="B373">
        <v>74.369</v>
      </c>
      <c r="C373">
        <v>112.181</v>
      </c>
      <c r="D373">
        <v>136</v>
      </c>
      <c r="E373">
        <v>52</v>
      </c>
      <c r="F373">
        <v>152</v>
      </c>
      <c r="G373">
        <v>50.137</v>
      </c>
      <c r="H373">
        <v>7.875</v>
      </c>
      <c r="I373">
        <v>12.766</v>
      </c>
      <c r="J373">
        <v>0.372</v>
      </c>
      <c r="K373">
        <v>8342.7610000000004</v>
      </c>
      <c r="L373">
        <v>115</v>
      </c>
      <c r="M373">
        <v>1.6220000000000001</v>
      </c>
      <c r="N373">
        <v>0.61599999999999999</v>
      </c>
      <c r="O373">
        <v>0.92900000000000005</v>
      </c>
      <c r="P373" s="2">
        <f t="shared" si="11"/>
        <v>1.6210793650793651</v>
      </c>
      <c r="Q373" t="str">
        <f t="shared" si="10"/>
        <v>eliptica</v>
      </c>
    </row>
    <row r="374" spans="1:17" x14ac:dyDescent="0.35">
      <c r="A374" t="s">
        <v>15</v>
      </c>
      <c r="B374">
        <v>85.881</v>
      </c>
      <c r="C374">
        <v>120.71599999999999</v>
      </c>
      <c r="D374">
        <v>140</v>
      </c>
      <c r="E374">
        <v>63</v>
      </c>
      <c r="F374">
        <v>151</v>
      </c>
      <c r="G374">
        <v>44.503</v>
      </c>
      <c r="H374">
        <v>9.5380000000000003</v>
      </c>
      <c r="I374">
        <v>13.401999999999999</v>
      </c>
      <c r="J374">
        <v>0.54500000000000004</v>
      </c>
      <c r="K374">
        <v>10367.201999999999</v>
      </c>
      <c r="L374">
        <v>126</v>
      </c>
      <c r="M374">
        <v>1.8129999999999999</v>
      </c>
      <c r="N374">
        <v>0.55100000000000005</v>
      </c>
      <c r="O374">
        <v>0.96399999999999997</v>
      </c>
      <c r="P374" s="2">
        <f t="shared" si="11"/>
        <v>1.4051163765988677</v>
      </c>
      <c r="Q374" t="str">
        <f t="shared" si="10"/>
        <v>esferica</v>
      </c>
    </row>
    <row r="375" spans="1:17" x14ac:dyDescent="0.35">
      <c r="A375" t="s">
        <v>15</v>
      </c>
      <c r="B375">
        <v>90.763000000000005</v>
      </c>
      <c r="C375">
        <v>124.22499999999999</v>
      </c>
      <c r="D375">
        <v>140</v>
      </c>
      <c r="E375">
        <v>65</v>
      </c>
      <c r="F375">
        <v>159</v>
      </c>
      <c r="G375">
        <v>49.927999999999997</v>
      </c>
      <c r="H375">
        <v>7.875</v>
      </c>
      <c r="I375">
        <v>15.358000000000001</v>
      </c>
      <c r="J375">
        <v>0.45800000000000002</v>
      </c>
      <c r="K375">
        <v>11275.072</v>
      </c>
      <c r="L375">
        <v>130</v>
      </c>
      <c r="M375">
        <v>1.911</v>
      </c>
      <c r="N375">
        <v>0.52300000000000002</v>
      </c>
      <c r="O375">
        <v>0.95799999999999996</v>
      </c>
      <c r="P375" s="2">
        <f t="shared" si="11"/>
        <v>1.9502222222222223</v>
      </c>
      <c r="Q375" t="str">
        <f t="shared" si="10"/>
        <v>eliptica</v>
      </c>
    </row>
    <row r="376" spans="1:17" x14ac:dyDescent="0.35">
      <c r="A376" t="s">
        <v>15</v>
      </c>
      <c r="B376">
        <v>120.39700000000001</v>
      </c>
      <c r="C376">
        <v>124.94799999999999</v>
      </c>
      <c r="D376">
        <v>146</v>
      </c>
      <c r="E376">
        <v>65</v>
      </c>
      <c r="F376">
        <v>160</v>
      </c>
      <c r="G376">
        <v>46.646999999999998</v>
      </c>
      <c r="H376">
        <v>9.9290000000000003</v>
      </c>
      <c r="I376">
        <v>15.113</v>
      </c>
      <c r="J376">
        <v>0.69499999999999995</v>
      </c>
      <c r="K376">
        <v>15043.295</v>
      </c>
      <c r="L376">
        <v>132</v>
      </c>
      <c r="M376">
        <v>1.5069999999999999</v>
      </c>
      <c r="N376">
        <v>0.66400000000000003</v>
      </c>
      <c r="O376">
        <v>0.98299999999999998</v>
      </c>
      <c r="P376" s="2">
        <f t="shared" si="11"/>
        <v>1.5221069594118239</v>
      </c>
      <c r="Q376" t="str">
        <f t="shared" si="10"/>
        <v>eliptica</v>
      </c>
    </row>
    <row r="377" spans="1:17" x14ac:dyDescent="0.35">
      <c r="A377" t="s">
        <v>15</v>
      </c>
      <c r="B377">
        <v>102.244</v>
      </c>
      <c r="C377">
        <v>123.501</v>
      </c>
      <c r="D377">
        <v>143</v>
      </c>
      <c r="E377">
        <v>64</v>
      </c>
      <c r="F377">
        <v>160</v>
      </c>
      <c r="G377">
        <v>47.506</v>
      </c>
      <c r="H377">
        <v>8.8040000000000003</v>
      </c>
      <c r="I377">
        <v>14.869</v>
      </c>
      <c r="J377">
        <v>0.56899999999999995</v>
      </c>
      <c r="K377">
        <v>12627.242</v>
      </c>
      <c r="L377">
        <v>128</v>
      </c>
      <c r="M377">
        <v>1.7270000000000001</v>
      </c>
      <c r="N377">
        <v>0.57899999999999996</v>
      </c>
      <c r="O377">
        <v>0.97399999999999998</v>
      </c>
      <c r="P377" s="2">
        <f t="shared" si="11"/>
        <v>1.6888914129940935</v>
      </c>
      <c r="Q377" t="str">
        <f t="shared" si="10"/>
        <v>eliptica</v>
      </c>
    </row>
    <row r="378" spans="1:17" x14ac:dyDescent="0.35">
      <c r="A378" t="s">
        <v>15</v>
      </c>
      <c r="B378">
        <v>114.337</v>
      </c>
      <c r="C378">
        <v>115.322</v>
      </c>
      <c r="D378">
        <v>129</v>
      </c>
      <c r="E378">
        <v>66</v>
      </c>
      <c r="F378">
        <v>144</v>
      </c>
      <c r="G378">
        <v>47.896999999999998</v>
      </c>
      <c r="H378">
        <v>11.298</v>
      </c>
      <c r="I378">
        <v>13.597</v>
      </c>
      <c r="J378">
        <v>0.626</v>
      </c>
      <c r="K378">
        <v>13185.539000000001</v>
      </c>
      <c r="L378">
        <v>122</v>
      </c>
      <c r="M378">
        <v>1.3220000000000001</v>
      </c>
      <c r="N378">
        <v>0.75600000000000001</v>
      </c>
      <c r="O378">
        <v>0.97599999999999998</v>
      </c>
      <c r="P378" s="2">
        <f t="shared" si="11"/>
        <v>1.2034873428925472</v>
      </c>
      <c r="Q378" t="str">
        <f t="shared" si="10"/>
        <v>esferica</v>
      </c>
    </row>
    <row r="379" spans="1:17" x14ac:dyDescent="0.35">
      <c r="A379" t="s">
        <v>15</v>
      </c>
      <c r="B379">
        <v>114.605</v>
      </c>
      <c r="C379">
        <v>125.476</v>
      </c>
      <c r="D379">
        <v>143</v>
      </c>
      <c r="E379">
        <v>65</v>
      </c>
      <c r="F379">
        <v>154</v>
      </c>
      <c r="G379">
        <v>46.537999999999997</v>
      </c>
      <c r="H379">
        <v>10.125</v>
      </c>
      <c r="I379">
        <v>15.016</v>
      </c>
      <c r="J379">
        <v>0.66500000000000004</v>
      </c>
      <c r="K379">
        <v>14380.208000000001</v>
      </c>
      <c r="L379">
        <v>132</v>
      </c>
      <c r="M379">
        <v>1.6319999999999999</v>
      </c>
      <c r="N379">
        <v>0.61299999999999999</v>
      </c>
      <c r="O379">
        <v>0.98299999999999998</v>
      </c>
      <c r="P379" s="2">
        <f t="shared" si="11"/>
        <v>1.4830617283950618</v>
      </c>
      <c r="Q379" t="str">
        <f t="shared" si="10"/>
        <v>esferica</v>
      </c>
    </row>
    <row r="380" spans="1:17" x14ac:dyDescent="0.35">
      <c r="A380" t="s">
        <v>15</v>
      </c>
      <c r="B380">
        <v>72.930999999999997</v>
      </c>
      <c r="C380">
        <v>113.91</v>
      </c>
      <c r="D380">
        <v>129</v>
      </c>
      <c r="E380">
        <v>65</v>
      </c>
      <c r="F380">
        <v>160</v>
      </c>
      <c r="G380">
        <v>39.503999999999998</v>
      </c>
      <c r="H380">
        <v>8.7550000000000008</v>
      </c>
      <c r="I380">
        <v>10.663</v>
      </c>
      <c r="J380">
        <v>0.58699999999999997</v>
      </c>
      <c r="K380">
        <v>8307.5849999999991</v>
      </c>
      <c r="L380">
        <v>117</v>
      </c>
      <c r="M380">
        <v>1.2390000000000001</v>
      </c>
      <c r="N380">
        <v>0.80700000000000005</v>
      </c>
      <c r="O380">
        <v>0.97</v>
      </c>
      <c r="P380" s="2">
        <f t="shared" si="11"/>
        <v>1.2179326099371788</v>
      </c>
      <c r="Q380" t="str">
        <f t="shared" si="10"/>
        <v>esferica</v>
      </c>
    </row>
    <row r="381" spans="1:17" x14ac:dyDescent="0.35">
      <c r="A381" t="s">
        <v>15</v>
      </c>
      <c r="B381">
        <v>89.39</v>
      </c>
      <c r="C381">
        <v>99.745999999999995</v>
      </c>
      <c r="D381">
        <v>109</v>
      </c>
      <c r="E381">
        <v>64</v>
      </c>
      <c r="F381">
        <v>122</v>
      </c>
      <c r="G381">
        <v>42.448</v>
      </c>
      <c r="H381">
        <v>9.6349999999999998</v>
      </c>
      <c r="I381">
        <v>12.472</v>
      </c>
      <c r="J381">
        <v>0.623</v>
      </c>
      <c r="K381">
        <v>8916.3379999999997</v>
      </c>
      <c r="L381">
        <v>102</v>
      </c>
      <c r="M381">
        <v>1.405</v>
      </c>
      <c r="N381">
        <v>0.71199999999999997</v>
      </c>
      <c r="O381">
        <v>0.97499999999999998</v>
      </c>
      <c r="P381" s="2">
        <f t="shared" si="11"/>
        <v>1.2944473274519979</v>
      </c>
      <c r="Q381" t="str">
        <f t="shared" si="10"/>
        <v>esferica</v>
      </c>
    </row>
    <row r="382" spans="1:17" x14ac:dyDescent="0.35">
      <c r="A382" t="s">
        <v>15</v>
      </c>
      <c r="B382">
        <v>141.58000000000001</v>
      </c>
      <c r="C382">
        <v>123.191</v>
      </c>
      <c r="D382">
        <v>146</v>
      </c>
      <c r="E382">
        <v>64</v>
      </c>
      <c r="F382">
        <v>157</v>
      </c>
      <c r="G382">
        <v>61.191000000000003</v>
      </c>
      <c r="H382">
        <v>10.516</v>
      </c>
      <c r="I382">
        <v>16.824999999999999</v>
      </c>
      <c r="J382">
        <v>0.47499999999999998</v>
      </c>
      <c r="K382">
        <v>17441.366999999998</v>
      </c>
      <c r="L382">
        <v>131</v>
      </c>
      <c r="M382">
        <v>1.6279999999999999</v>
      </c>
      <c r="N382">
        <v>0.61399999999999999</v>
      </c>
      <c r="O382">
        <v>0.97599999999999998</v>
      </c>
      <c r="P382" s="2">
        <f t="shared" si="11"/>
        <v>1.5999429440852033</v>
      </c>
      <c r="Q382" t="str">
        <f t="shared" si="10"/>
        <v>eliptica</v>
      </c>
    </row>
    <row r="383" spans="1:17" x14ac:dyDescent="0.35">
      <c r="A383" t="s">
        <v>15</v>
      </c>
      <c r="B383">
        <v>152.12299999999999</v>
      </c>
      <c r="C383">
        <v>114.145</v>
      </c>
      <c r="D383">
        <v>123</v>
      </c>
      <c r="E383">
        <v>52</v>
      </c>
      <c r="F383">
        <v>170</v>
      </c>
      <c r="G383">
        <v>61.023000000000003</v>
      </c>
      <c r="H383">
        <v>12.913</v>
      </c>
      <c r="I383">
        <v>15.26</v>
      </c>
      <c r="J383">
        <v>0.51300000000000001</v>
      </c>
      <c r="K383">
        <v>17364.111000000001</v>
      </c>
      <c r="L383">
        <v>117</v>
      </c>
      <c r="M383">
        <v>1.141</v>
      </c>
      <c r="N383">
        <v>0.877</v>
      </c>
      <c r="O383">
        <v>0.95499999999999996</v>
      </c>
      <c r="P383" s="2">
        <f t="shared" si="11"/>
        <v>1.181754820723302</v>
      </c>
      <c r="Q383" t="str">
        <f t="shared" si="10"/>
        <v>esferica</v>
      </c>
    </row>
    <row r="384" spans="1:17" x14ac:dyDescent="0.35">
      <c r="A384" t="s">
        <v>15</v>
      </c>
      <c r="B384">
        <v>125.34099999999999</v>
      </c>
      <c r="C384">
        <v>119.748</v>
      </c>
      <c r="D384">
        <v>136</v>
      </c>
      <c r="E384">
        <v>35</v>
      </c>
      <c r="F384">
        <v>152</v>
      </c>
      <c r="G384">
        <v>55.228999999999999</v>
      </c>
      <c r="H384">
        <v>10.076000000000001</v>
      </c>
      <c r="I384">
        <v>16.335999999999999</v>
      </c>
      <c r="J384">
        <v>0.51600000000000001</v>
      </c>
      <c r="K384">
        <v>15009.418</v>
      </c>
      <c r="L384">
        <v>124</v>
      </c>
      <c r="M384">
        <v>1.5720000000000001</v>
      </c>
      <c r="N384">
        <v>0.63600000000000001</v>
      </c>
      <c r="O384">
        <v>0.96499999999999997</v>
      </c>
      <c r="P384" s="2">
        <f t="shared" si="11"/>
        <v>1.6212782850337433</v>
      </c>
      <c r="Q384" t="str">
        <f t="shared" si="10"/>
        <v>eliptica</v>
      </c>
    </row>
    <row r="385" spans="1:17" x14ac:dyDescent="0.35">
      <c r="A385" t="s">
        <v>15</v>
      </c>
      <c r="B385">
        <v>91.462000000000003</v>
      </c>
      <c r="C385">
        <v>102.18899999999999</v>
      </c>
      <c r="D385">
        <v>106</v>
      </c>
      <c r="E385">
        <v>63</v>
      </c>
      <c r="F385">
        <v>136</v>
      </c>
      <c r="G385">
        <v>54.167999999999999</v>
      </c>
      <c r="H385">
        <v>8.657</v>
      </c>
      <c r="I385">
        <v>14.478</v>
      </c>
      <c r="J385">
        <v>0.39200000000000002</v>
      </c>
      <c r="K385">
        <v>9346.3510000000006</v>
      </c>
      <c r="L385">
        <v>103</v>
      </c>
      <c r="M385">
        <v>1.7709999999999999</v>
      </c>
      <c r="N385">
        <v>0.56499999999999995</v>
      </c>
      <c r="O385">
        <v>0.96</v>
      </c>
      <c r="P385" s="2">
        <f t="shared" si="11"/>
        <v>1.6724038350467829</v>
      </c>
      <c r="Q385" t="str">
        <f t="shared" si="10"/>
        <v>eliptica</v>
      </c>
    </row>
    <row r="386" spans="1:17" x14ac:dyDescent="0.35">
      <c r="A386" t="s">
        <v>15</v>
      </c>
      <c r="B386">
        <v>108.241</v>
      </c>
      <c r="C386">
        <v>110.19799999999999</v>
      </c>
      <c r="D386">
        <v>123</v>
      </c>
      <c r="E386">
        <v>65</v>
      </c>
      <c r="F386">
        <v>137</v>
      </c>
      <c r="G386">
        <v>47.631</v>
      </c>
      <c r="H386">
        <v>10.125</v>
      </c>
      <c r="I386">
        <v>13.792999999999999</v>
      </c>
      <c r="J386">
        <v>0.6</v>
      </c>
      <c r="K386">
        <v>11927.941000000001</v>
      </c>
      <c r="L386">
        <v>113</v>
      </c>
      <c r="M386">
        <v>1.37</v>
      </c>
      <c r="N386">
        <v>0.73</v>
      </c>
      <c r="O386">
        <v>0.97</v>
      </c>
      <c r="P386" s="2">
        <f t="shared" si="11"/>
        <v>1.3622716049382715</v>
      </c>
      <c r="Q386" t="str">
        <f t="shared" ref="Q386:Q449" si="12">IF(P386&lt;1,"ovoide",IF(P386&lt;1.5,"esferica",IF(P386&lt;2,"eliptica","alongada")))</f>
        <v>esferica</v>
      </c>
    </row>
    <row r="387" spans="1:17" x14ac:dyDescent="0.35">
      <c r="A387" t="s">
        <v>15</v>
      </c>
      <c r="B387">
        <v>124.011</v>
      </c>
      <c r="C387">
        <v>129.62899999999999</v>
      </c>
      <c r="D387">
        <v>153</v>
      </c>
      <c r="E387">
        <v>65</v>
      </c>
      <c r="F387">
        <v>179</v>
      </c>
      <c r="G387">
        <v>50.106000000000002</v>
      </c>
      <c r="H387">
        <v>11.151999999999999</v>
      </c>
      <c r="I387">
        <v>14.722</v>
      </c>
      <c r="J387">
        <v>0.621</v>
      </c>
      <c r="K387">
        <v>16075.439</v>
      </c>
      <c r="L387">
        <v>137</v>
      </c>
      <c r="M387">
        <v>1.4059999999999999</v>
      </c>
      <c r="N387">
        <v>0.71099999999999997</v>
      </c>
      <c r="O387">
        <v>0.97899999999999998</v>
      </c>
      <c r="P387" s="2">
        <f t="shared" ref="P387:P450" si="13">I387/H387</f>
        <v>1.3201219512195121</v>
      </c>
      <c r="Q387" t="str">
        <f t="shared" si="12"/>
        <v>esferica</v>
      </c>
    </row>
    <row r="388" spans="1:17" x14ac:dyDescent="0.35">
      <c r="A388" t="s">
        <v>15</v>
      </c>
      <c r="B388">
        <v>134.49</v>
      </c>
      <c r="C388">
        <v>130.15600000000001</v>
      </c>
      <c r="D388">
        <v>154</v>
      </c>
      <c r="E388">
        <v>67</v>
      </c>
      <c r="F388">
        <v>182</v>
      </c>
      <c r="G388">
        <v>50.073999999999998</v>
      </c>
      <c r="H388">
        <v>10.808999999999999</v>
      </c>
      <c r="I388">
        <v>15.945</v>
      </c>
      <c r="J388">
        <v>0.67400000000000004</v>
      </c>
      <c r="K388">
        <v>17504.652999999998</v>
      </c>
      <c r="L388">
        <v>137</v>
      </c>
      <c r="M388">
        <v>1.4730000000000001</v>
      </c>
      <c r="N388">
        <v>0.67900000000000005</v>
      </c>
      <c r="O388">
        <v>0.98</v>
      </c>
      <c r="P388" s="2">
        <f t="shared" si="13"/>
        <v>1.4751595892311964</v>
      </c>
      <c r="Q388" t="str">
        <f t="shared" si="12"/>
        <v>esferica</v>
      </c>
    </row>
    <row r="389" spans="1:17" x14ac:dyDescent="0.35">
      <c r="A389" t="s">
        <v>15</v>
      </c>
      <c r="B389">
        <v>96.275000000000006</v>
      </c>
      <c r="C389">
        <v>97.200999999999993</v>
      </c>
      <c r="D389">
        <v>106</v>
      </c>
      <c r="E389">
        <v>64</v>
      </c>
      <c r="F389">
        <v>123</v>
      </c>
      <c r="G389">
        <v>58.988</v>
      </c>
      <c r="H389">
        <v>9</v>
      </c>
      <c r="I389">
        <v>14.183999999999999</v>
      </c>
      <c r="J389">
        <v>0.34799999999999998</v>
      </c>
      <c r="K389">
        <v>9358.0879999999997</v>
      </c>
      <c r="L389">
        <v>100</v>
      </c>
      <c r="M389">
        <v>1.593</v>
      </c>
      <c r="N389">
        <v>0.628</v>
      </c>
      <c r="O389">
        <v>0.96199999999999997</v>
      </c>
      <c r="P389" s="2">
        <f t="shared" si="13"/>
        <v>1.5759999999999998</v>
      </c>
      <c r="Q389" t="str">
        <f t="shared" si="12"/>
        <v>eliptica</v>
      </c>
    </row>
    <row r="390" spans="1:17" x14ac:dyDescent="0.35">
      <c r="A390" t="s">
        <v>15</v>
      </c>
      <c r="B390">
        <v>127.265</v>
      </c>
      <c r="C390">
        <v>130.86600000000001</v>
      </c>
      <c r="D390">
        <v>150</v>
      </c>
      <c r="E390">
        <v>65</v>
      </c>
      <c r="F390">
        <v>167</v>
      </c>
      <c r="G390">
        <v>49.570999999999998</v>
      </c>
      <c r="H390">
        <v>9.8800000000000008</v>
      </c>
      <c r="I390">
        <v>15.798</v>
      </c>
      <c r="J390">
        <v>0.65100000000000002</v>
      </c>
      <c r="K390">
        <v>16654.695</v>
      </c>
      <c r="L390">
        <v>140</v>
      </c>
      <c r="M390">
        <v>1.6160000000000001</v>
      </c>
      <c r="N390">
        <v>0.61899999999999999</v>
      </c>
      <c r="O390">
        <v>0.98299999999999998</v>
      </c>
      <c r="P390" s="2">
        <f t="shared" si="13"/>
        <v>1.5989878542510121</v>
      </c>
      <c r="Q390" t="str">
        <f t="shared" si="12"/>
        <v>eliptica</v>
      </c>
    </row>
    <row r="391" spans="1:17" x14ac:dyDescent="0.35">
      <c r="A391" t="s">
        <v>15</v>
      </c>
      <c r="B391">
        <v>159.876</v>
      </c>
      <c r="C391">
        <v>134.61000000000001</v>
      </c>
      <c r="D391">
        <v>163</v>
      </c>
      <c r="E391">
        <v>63</v>
      </c>
      <c r="F391">
        <v>172</v>
      </c>
      <c r="G391">
        <v>59.231000000000002</v>
      </c>
      <c r="H391">
        <v>12.228</v>
      </c>
      <c r="I391">
        <v>17.460999999999999</v>
      </c>
      <c r="J391">
        <v>0.57299999999999995</v>
      </c>
      <c r="K391">
        <v>21520.982</v>
      </c>
      <c r="L391">
        <v>143</v>
      </c>
      <c r="M391">
        <v>1.67</v>
      </c>
      <c r="N391">
        <v>0.59899999999999998</v>
      </c>
      <c r="O391">
        <v>0.98099999999999998</v>
      </c>
      <c r="P391" s="2">
        <f t="shared" si="13"/>
        <v>1.4279522407589138</v>
      </c>
      <c r="Q391" t="str">
        <f t="shared" si="12"/>
        <v>esferica</v>
      </c>
    </row>
    <row r="392" spans="1:17" x14ac:dyDescent="0.35">
      <c r="A392" t="s">
        <v>15</v>
      </c>
      <c r="B392">
        <v>149.96</v>
      </c>
      <c r="C392">
        <v>139.58699999999999</v>
      </c>
      <c r="D392">
        <v>157</v>
      </c>
      <c r="E392">
        <v>63</v>
      </c>
      <c r="F392">
        <v>170</v>
      </c>
      <c r="G392">
        <v>50.598999999999997</v>
      </c>
      <c r="H392">
        <v>11.25</v>
      </c>
      <c r="I392">
        <v>16.532</v>
      </c>
      <c r="J392">
        <v>0.73599999999999999</v>
      </c>
      <c r="K392">
        <v>20932.460999999999</v>
      </c>
      <c r="L392">
        <v>146</v>
      </c>
      <c r="M392">
        <v>1.4890000000000001</v>
      </c>
      <c r="N392">
        <v>0.67200000000000004</v>
      </c>
      <c r="O392">
        <v>0.98799999999999999</v>
      </c>
      <c r="P392" s="2">
        <f t="shared" si="13"/>
        <v>1.4695111111111112</v>
      </c>
      <c r="Q392" t="str">
        <f t="shared" si="12"/>
        <v>esferica</v>
      </c>
    </row>
    <row r="393" spans="1:17" x14ac:dyDescent="0.35">
      <c r="A393" t="s">
        <v>15</v>
      </c>
      <c r="B393">
        <v>106.741</v>
      </c>
      <c r="C393">
        <v>112.95699999999999</v>
      </c>
      <c r="D393">
        <v>123</v>
      </c>
      <c r="E393">
        <v>63</v>
      </c>
      <c r="F393">
        <v>142</v>
      </c>
      <c r="G393">
        <v>48.932000000000002</v>
      </c>
      <c r="H393">
        <v>9.2929999999999993</v>
      </c>
      <c r="I393">
        <v>14.771000000000001</v>
      </c>
      <c r="J393">
        <v>0.56000000000000005</v>
      </c>
      <c r="K393">
        <v>12057.194</v>
      </c>
      <c r="L393">
        <v>116</v>
      </c>
      <c r="M393">
        <v>1.609</v>
      </c>
      <c r="N393">
        <v>0.621</v>
      </c>
      <c r="O393">
        <v>0.97399999999999998</v>
      </c>
      <c r="P393" s="2">
        <f t="shared" si="13"/>
        <v>1.5894759496395139</v>
      </c>
      <c r="Q393" t="str">
        <f t="shared" si="12"/>
        <v>eliptica</v>
      </c>
    </row>
    <row r="394" spans="1:17" x14ac:dyDescent="0.35">
      <c r="A394" t="s">
        <v>15</v>
      </c>
      <c r="B394">
        <v>122.143</v>
      </c>
      <c r="C394">
        <v>130.22</v>
      </c>
      <c r="D394">
        <v>150</v>
      </c>
      <c r="E394">
        <v>64</v>
      </c>
      <c r="F394">
        <v>163</v>
      </c>
      <c r="G394">
        <v>49.603000000000002</v>
      </c>
      <c r="H394">
        <v>9.6839999999999993</v>
      </c>
      <c r="I394">
        <v>15.847</v>
      </c>
      <c r="J394">
        <v>0.624</v>
      </c>
      <c r="K394">
        <v>15905.501</v>
      </c>
      <c r="L394">
        <v>137</v>
      </c>
      <c r="M394">
        <v>1.6220000000000001</v>
      </c>
      <c r="N394">
        <v>0.61699999999999999</v>
      </c>
      <c r="O394">
        <v>0.97899999999999998</v>
      </c>
      <c r="P394" s="2">
        <f t="shared" si="13"/>
        <v>1.6364105741429162</v>
      </c>
      <c r="Q394" t="str">
        <f t="shared" si="12"/>
        <v>eliptica</v>
      </c>
    </row>
    <row r="395" spans="1:17" x14ac:dyDescent="0.35">
      <c r="A395" t="s">
        <v>15</v>
      </c>
      <c r="B395">
        <v>118.56399999999999</v>
      </c>
      <c r="C395">
        <v>132.94</v>
      </c>
      <c r="D395">
        <v>153</v>
      </c>
      <c r="E395">
        <v>64</v>
      </c>
      <c r="F395">
        <v>194</v>
      </c>
      <c r="G395">
        <v>47.725999999999999</v>
      </c>
      <c r="H395">
        <v>10.565</v>
      </c>
      <c r="I395">
        <v>14.574999999999999</v>
      </c>
      <c r="J395">
        <v>0.65400000000000003</v>
      </c>
      <c r="K395">
        <v>15761.915999999999</v>
      </c>
      <c r="L395">
        <v>140</v>
      </c>
      <c r="M395">
        <v>1.47</v>
      </c>
      <c r="N395">
        <v>0.68</v>
      </c>
      <c r="O395">
        <v>0.96399999999999997</v>
      </c>
      <c r="P395" s="2">
        <f t="shared" si="13"/>
        <v>1.3795551348793185</v>
      </c>
      <c r="Q395" t="str">
        <f t="shared" si="12"/>
        <v>esferica</v>
      </c>
    </row>
    <row r="396" spans="1:17" x14ac:dyDescent="0.35">
      <c r="A396" t="s">
        <v>15</v>
      </c>
      <c r="B396">
        <v>68.245000000000005</v>
      </c>
      <c r="C396">
        <v>123.99299999999999</v>
      </c>
      <c r="D396">
        <v>140</v>
      </c>
      <c r="E396">
        <v>57</v>
      </c>
      <c r="F396">
        <v>153</v>
      </c>
      <c r="G396">
        <v>33.784999999999997</v>
      </c>
      <c r="H396">
        <v>8.4130000000000003</v>
      </c>
      <c r="I396">
        <v>10.614000000000001</v>
      </c>
      <c r="J396">
        <v>0.751</v>
      </c>
      <c r="K396">
        <v>8461.8610000000008</v>
      </c>
      <c r="L396">
        <v>130</v>
      </c>
      <c r="M396">
        <v>1.2829999999999999</v>
      </c>
      <c r="N396">
        <v>0.77900000000000003</v>
      </c>
      <c r="O396">
        <v>0.98</v>
      </c>
      <c r="P396" s="2">
        <f t="shared" si="13"/>
        <v>1.26161892309521</v>
      </c>
      <c r="Q396" t="str">
        <f t="shared" si="12"/>
        <v>esferica</v>
      </c>
    </row>
    <row r="397" spans="1:17" x14ac:dyDescent="0.35">
      <c r="A397" t="s">
        <v>16</v>
      </c>
      <c r="B397">
        <v>128.94399999999999</v>
      </c>
      <c r="C397">
        <v>120.887</v>
      </c>
      <c r="D397">
        <v>144</v>
      </c>
      <c r="E397">
        <v>64</v>
      </c>
      <c r="F397">
        <v>247</v>
      </c>
      <c r="G397">
        <v>52.576000000000001</v>
      </c>
      <c r="H397">
        <v>10.076000000000001</v>
      </c>
      <c r="I397">
        <v>16.335999999999999</v>
      </c>
      <c r="J397">
        <v>0.58599999999999997</v>
      </c>
      <c r="K397">
        <v>15587.692999999999</v>
      </c>
      <c r="L397">
        <v>128</v>
      </c>
      <c r="M397">
        <v>1.8291641304818698</v>
      </c>
      <c r="N397">
        <v>0.51670339432233181</v>
      </c>
      <c r="O397">
        <v>0.97799999999999998</v>
      </c>
      <c r="P397" s="2">
        <f t="shared" si="13"/>
        <v>1.6212782850337433</v>
      </c>
      <c r="Q397" t="str">
        <f t="shared" si="12"/>
        <v>eliptica</v>
      </c>
    </row>
    <row r="398" spans="1:17" x14ac:dyDescent="0.35">
      <c r="A398" t="s">
        <v>16</v>
      </c>
      <c r="B398">
        <v>137.64699999999999</v>
      </c>
      <c r="C398">
        <v>131.73099999999999</v>
      </c>
      <c r="D398">
        <v>156</v>
      </c>
      <c r="E398">
        <v>64</v>
      </c>
      <c r="F398">
        <v>164</v>
      </c>
      <c r="G398">
        <v>49.88</v>
      </c>
      <c r="H398">
        <v>12.032</v>
      </c>
      <c r="I398">
        <v>15.308999999999999</v>
      </c>
      <c r="J398">
        <v>0.69499999999999995</v>
      </c>
      <c r="K398">
        <v>18132.455000000002</v>
      </c>
      <c r="L398">
        <v>141</v>
      </c>
      <c r="M398">
        <v>1.5341641304818698</v>
      </c>
      <c r="N398">
        <v>0.65024432960017364</v>
      </c>
      <c r="O398">
        <v>0.98299999999999998</v>
      </c>
      <c r="P398" s="2">
        <f t="shared" si="13"/>
        <v>1.2723570478723403</v>
      </c>
      <c r="Q398" t="str">
        <f t="shared" si="12"/>
        <v>esferica</v>
      </c>
    </row>
    <row r="399" spans="1:17" x14ac:dyDescent="0.35">
      <c r="A399" t="s">
        <v>16</v>
      </c>
      <c r="B399">
        <v>100.46899999999999</v>
      </c>
      <c r="C399">
        <v>120.64100000000001</v>
      </c>
      <c r="D399">
        <v>136</v>
      </c>
      <c r="E399">
        <v>62</v>
      </c>
      <c r="F399">
        <v>153</v>
      </c>
      <c r="G399">
        <v>45.389000000000003</v>
      </c>
      <c r="H399">
        <v>8.8040000000000003</v>
      </c>
      <c r="I399">
        <v>14.673</v>
      </c>
      <c r="J399">
        <v>0.61299999999999999</v>
      </c>
      <c r="K399">
        <v>12120.635</v>
      </c>
      <c r="L399">
        <v>127</v>
      </c>
      <c r="M399">
        <v>1.9261641304818697</v>
      </c>
      <c r="N399">
        <v>0.48275118937784484</v>
      </c>
      <c r="O399">
        <v>0.97799999999999998</v>
      </c>
      <c r="P399" s="2">
        <f t="shared" si="13"/>
        <v>1.666628805088596</v>
      </c>
      <c r="Q399" t="str">
        <f t="shared" si="12"/>
        <v>eliptica</v>
      </c>
    </row>
    <row r="400" spans="1:17" x14ac:dyDescent="0.35">
      <c r="A400" t="s">
        <v>16</v>
      </c>
      <c r="B400">
        <v>133.334</v>
      </c>
      <c r="C400">
        <v>136.80799999999999</v>
      </c>
      <c r="D400">
        <v>156</v>
      </c>
      <c r="E400">
        <v>63</v>
      </c>
      <c r="F400">
        <v>172</v>
      </c>
      <c r="G400">
        <v>46.850999999999999</v>
      </c>
      <c r="H400">
        <v>11.347</v>
      </c>
      <c r="I400">
        <v>14.869</v>
      </c>
      <c r="J400">
        <v>0.76300000000000001</v>
      </c>
      <c r="K400">
        <v>18241.155999999999</v>
      </c>
      <c r="L400">
        <v>144</v>
      </c>
      <c r="M400">
        <v>1.5021641304818698</v>
      </c>
      <c r="N400">
        <v>0.66860569042868656</v>
      </c>
      <c r="O400">
        <v>0.98599999999999999</v>
      </c>
      <c r="P400" s="2">
        <f t="shared" si="13"/>
        <v>1.3103904115625276</v>
      </c>
      <c r="Q400" t="str">
        <f t="shared" si="12"/>
        <v>esferica</v>
      </c>
    </row>
    <row r="401" spans="1:17" x14ac:dyDescent="0.35">
      <c r="A401" t="s">
        <v>16</v>
      </c>
      <c r="B401">
        <v>119.55</v>
      </c>
      <c r="C401">
        <v>125.559</v>
      </c>
      <c r="D401">
        <v>146</v>
      </c>
      <c r="E401">
        <v>63</v>
      </c>
      <c r="F401">
        <v>157</v>
      </c>
      <c r="G401">
        <v>48.837000000000003</v>
      </c>
      <c r="H401">
        <v>11.983000000000001</v>
      </c>
      <c r="I401">
        <v>14.282</v>
      </c>
      <c r="J401">
        <v>0.63</v>
      </c>
      <c r="K401">
        <v>15010.573</v>
      </c>
      <c r="L401">
        <v>133</v>
      </c>
      <c r="M401">
        <v>1.7311641304818697</v>
      </c>
      <c r="N401">
        <v>0.55544613565867684</v>
      </c>
      <c r="O401">
        <v>0.98099999999999998</v>
      </c>
      <c r="P401" s="2">
        <f t="shared" si="13"/>
        <v>1.1918551280981389</v>
      </c>
      <c r="Q401" t="str">
        <f t="shared" si="12"/>
        <v>esferica</v>
      </c>
    </row>
    <row r="402" spans="1:17" x14ac:dyDescent="0.35">
      <c r="A402" t="s">
        <v>16</v>
      </c>
      <c r="B402">
        <v>131.71700000000001</v>
      </c>
      <c r="C402">
        <v>129.93</v>
      </c>
      <c r="D402">
        <v>156</v>
      </c>
      <c r="E402">
        <v>61</v>
      </c>
      <c r="F402">
        <v>167</v>
      </c>
      <c r="G402">
        <v>47.927999999999997</v>
      </c>
      <c r="H402">
        <v>12.081</v>
      </c>
      <c r="I402">
        <v>14.526999999999999</v>
      </c>
      <c r="J402">
        <v>0.72099999999999997</v>
      </c>
      <c r="K402">
        <v>17113.914000000001</v>
      </c>
      <c r="L402">
        <v>136</v>
      </c>
      <c r="M402">
        <v>1.3941641304818697</v>
      </c>
      <c r="N402">
        <v>0.7367842411347052</v>
      </c>
      <c r="O402">
        <v>0.97899999999999998</v>
      </c>
      <c r="P402" s="2">
        <f t="shared" si="13"/>
        <v>1.2024666832215876</v>
      </c>
      <c r="Q402" t="str">
        <f t="shared" si="12"/>
        <v>esferica</v>
      </c>
    </row>
    <row r="403" spans="1:17" x14ac:dyDescent="0.35">
      <c r="A403" t="s">
        <v>16</v>
      </c>
      <c r="B403">
        <v>122.813</v>
      </c>
      <c r="C403">
        <v>122.83199999999999</v>
      </c>
      <c r="D403">
        <v>148</v>
      </c>
      <c r="E403">
        <v>61</v>
      </c>
      <c r="F403">
        <v>156</v>
      </c>
      <c r="G403">
        <v>48.973999999999997</v>
      </c>
      <c r="H403">
        <v>9.8800000000000008</v>
      </c>
      <c r="I403">
        <v>15.798</v>
      </c>
      <c r="J403">
        <v>0.64300000000000002</v>
      </c>
      <c r="K403">
        <v>15085.32</v>
      </c>
      <c r="L403">
        <v>131</v>
      </c>
      <c r="M403">
        <v>1.8391641304818698</v>
      </c>
      <c r="N403">
        <v>0.51314384535452739</v>
      </c>
      <c r="O403">
        <v>0.98199999999999998</v>
      </c>
      <c r="P403" s="2">
        <f t="shared" si="13"/>
        <v>1.5989878542510121</v>
      </c>
      <c r="Q403" t="str">
        <f t="shared" si="12"/>
        <v>eliptica</v>
      </c>
    </row>
    <row r="404" spans="1:17" x14ac:dyDescent="0.35">
      <c r="A404" t="s">
        <v>16</v>
      </c>
      <c r="B404">
        <v>116.791</v>
      </c>
      <c r="C404">
        <v>130.50899999999999</v>
      </c>
      <c r="D404">
        <v>156</v>
      </c>
      <c r="E404">
        <v>63</v>
      </c>
      <c r="F404">
        <v>167</v>
      </c>
      <c r="G404">
        <v>46.201000000000001</v>
      </c>
      <c r="H404">
        <v>11.445</v>
      </c>
      <c r="I404">
        <v>13.255000000000001</v>
      </c>
      <c r="J404">
        <v>0.68799999999999994</v>
      </c>
      <c r="K404">
        <v>15242.364</v>
      </c>
      <c r="L404">
        <v>138</v>
      </c>
      <c r="M404">
        <v>1.3401641304818697</v>
      </c>
      <c r="N404">
        <v>0.77537946098563348</v>
      </c>
      <c r="O404">
        <v>0.97499999999999998</v>
      </c>
      <c r="P404" s="2">
        <f t="shared" si="13"/>
        <v>1.1581476627348188</v>
      </c>
      <c r="Q404" t="str">
        <f t="shared" si="12"/>
        <v>esferica</v>
      </c>
    </row>
    <row r="405" spans="1:17" x14ac:dyDescent="0.35">
      <c r="A405" t="s">
        <v>16</v>
      </c>
      <c r="B405">
        <v>96.134</v>
      </c>
      <c r="C405">
        <v>96.165000000000006</v>
      </c>
      <c r="D405">
        <v>104</v>
      </c>
      <c r="E405">
        <v>62</v>
      </c>
      <c r="F405">
        <v>119</v>
      </c>
      <c r="G405">
        <v>49.006</v>
      </c>
      <c r="H405">
        <v>8.657</v>
      </c>
      <c r="I405">
        <v>14.38</v>
      </c>
      <c r="J405">
        <v>0.503</v>
      </c>
      <c r="K405">
        <v>9244.7199999999993</v>
      </c>
      <c r="L405">
        <v>99</v>
      </c>
      <c r="M405">
        <v>1.8441641304818697</v>
      </c>
      <c r="N405">
        <v>0.51145479910340308</v>
      </c>
      <c r="O405">
        <v>0.97299999999999998</v>
      </c>
      <c r="P405" s="2">
        <f t="shared" si="13"/>
        <v>1.6610835162296409</v>
      </c>
      <c r="Q405" t="str">
        <f t="shared" si="12"/>
        <v>eliptica</v>
      </c>
    </row>
    <row r="406" spans="1:17" x14ac:dyDescent="0.35">
      <c r="A406" t="s">
        <v>16</v>
      </c>
      <c r="B406">
        <v>133.679</v>
      </c>
      <c r="C406">
        <v>125.27200000000001</v>
      </c>
      <c r="D406">
        <v>148</v>
      </c>
      <c r="E406">
        <v>60</v>
      </c>
      <c r="F406">
        <v>160</v>
      </c>
      <c r="G406">
        <v>47.417999999999999</v>
      </c>
      <c r="H406">
        <v>11.983000000000001</v>
      </c>
      <c r="I406">
        <v>14.233000000000001</v>
      </c>
      <c r="J406">
        <v>0.747</v>
      </c>
      <c r="K406">
        <v>16746.190999999999</v>
      </c>
      <c r="L406">
        <v>131</v>
      </c>
      <c r="M406">
        <v>1.3771641304818698</v>
      </c>
      <c r="N406">
        <v>0.74819200902142002</v>
      </c>
      <c r="O406">
        <v>0.98299999999999998</v>
      </c>
      <c r="P406" s="2">
        <f t="shared" si="13"/>
        <v>1.1877660018359342</v>
      </c>
      <c r="Q406" t="str">
        <f t="shared" si="12"/>
        <v>esferica</v>
      </c>
    </row>
    <row r="407" spans="1:17" x14ac:dyDescent="0.35">
      <c r="A407" t="s">
        <v>16</v>
      </c>
      <c r="B407">
        <v>141.499</v>
      </c>
      <c r="C407">
        <v>122.089</v>
      </c>
      <c r="D407">
        <v>140</v>
      </c>
      <c r="E407">
        <v>62</v>
      </c>
      <c r="F407">
        <v>151</v>
      </c>
      <c r="G407">
        <v>51.996000000000002</v>
      </c>
      <c r="H407">
        <v>10.417999999999999</v>
      </c>
      <c r="I407">
        <v>16.922999999999998</v>
      </c>
      <c r="J407">
        <v>0.65800000000000003</v>
      </c>
      <c r="K407">
        <v>17275.442999999999</v>
      </c>
      <c r="L407">
        <v>127</v>
      </c>
      <c r="M407">
        <v>1.8441641304818697</v>
      </c>
      <c r="N407">
        <v>0.51139406570706503</v>
      </c>
      <c r="O407">
        <v>0.98399999999999999</v>
      </c>
      <c r="P407" s="2">
        <f t="shared" si="13"/>
        <v>1.6244000767901707</v>
      </c>
      <c r="Q407" t="str">
        <f t="shared" si="12"/>
        <v>eliptica</v>
      </c>
    </row>
    <row r="408" spans="1:17" x14ac:dyDescent="0.35">
      <c r="A408" t="s">
        <v>16</v>
      </c>
      <c r="B408">
        <v>139.24100000000001</v>
      </c>
      <c r="C408">
        <v>118.03400000000001</v>
      </c>
      <c r="D408">
        <v>136</v>
      </c>
      <c r="E408">
        <v>55</v>
      </c>
      <c r="F408">
        <v>168</v>
      </c>
      <c r="G408">
        <v>48.033999999999999</v>
      </c>
      <c r="H408">
        <v>12.032</v>
      </c>
      <c r="I408">
        <v>14.967000000000001</v>
      </c>
      <c r="J408">
        <v>0.75800000000000001</v>
      </c>
      <c r="K408">
        <v>16435.082999999999</v>
      </c>
      <c r="L408">
        <v>122</v>
      </c>
      <c r="M408">
        <v>1.4161641304818697</v>
      </c>
      <c r="N408">
        <v>0.72173275387552116</v>
      </c>
      <c r="O408">
        <v>0.98399999999999999</v>
      </c>
      <c r="P408" s="2">
        <f t="shared" si="13"/>
        <v>1.243932845744681</v>
      </c>
      <c r="Q408" t="str">
        <f t="shared" si="12"/>
        <v>esferica</v>
      </c>
    </row>
    <row r="409" spans="1:17" x14ac:dyDescent="0.35">
      <c r="A409" t="s">
        <v>16</v>
      </c>
      <c r="B409">
        <v>92.146000000000001</v>
      </c>
      <c r="C409">
        <v>114.292</v>
      </c>
      <c r="D409">
        <v>134</v>
      </c>
      <c r="E409">
        <v>63</v>
      </c>
      <c r="F409">
        <v>146</v>
      </c>
      <c r="G409">
        <v>45.082999999999998</v>
      </c>
      <c r="H409">
        <v>8.8529999999999998</v>
      </c>
      <c r="I409">
        <v>13.695</v>
      </c>
      <c r="J409">
        <v>0.56999999999999995</v>
      </c>
      <c r="K409">
        <v>10531.558999999999</v>
      </c>
      <c r="L409">
        <v>118</v>
      </c>
      <c r="M409">
        <v>1.7901641304818698</v>
      </c>
      <c r="N409">
        <v>0.53140635783852486</v>
      </c>
      <c r="O409">
        <v>0.97299999999999998</v>
      </c>
      <c r="P409" s="2">
        <f t="shared" si="13"/>
        <v>1.5469332429684852</v>
      </c>
      <c r="Q409" t="str">
        <f t="shared" si="12"/>
        <v>eliptica</v>
      </c>
    </row>
    <row r="410" spans="1:17" x14ac:dyDescent="0.35">
      <c r="A410" t="s">
        <v>16</v>
      </c>
      <c r="B410">
        <v>124.511</v>
      </c>
      <c r="C410">
        <v>125.474</v>
      </c>
      <c r="D410">
        <v>144</v>
      </c>
      <c r="E410">
        <v>62</v>
      </c>
      <c r="F410">
        <v>156</v>
      </c>
      <c r="G410">
        <v>46.664999999999999</v>
      </c>
      <c r="H410">
        <v>10.808999999999999</v>
      </c>
      <c r="I410">
        <v>14.722</v>
      </c>
      <c r="J410">
        <v>0.71899999999999997</v>
      </c>
      <c r="K410">
        <v>15622.974</v>
      </c>
      <c r="L410">
        <v>131</v>
      </c>
      <c r="M410">
        <v>1.5441641304818698</v>
      </c>
      <c r="N410">
        <v>0.64475320220327115</v>
      </c>
      <c r="O410">
        <v>0.98499999999999999</v>
      </c>
      <c r="P410" s="2">
        <f t="shared" si="13"/>
        <v>1.3620131372004811</v>
      </c>
      <c r="Q410" t="str">
        <f t="shared" si="12"/>
        <v>esferica</v>
      </c>
    </row>
    <row r="411" spans="1:17" x14ac:dyDescent="0.35">
      <c r="A411" t="s">
        <v>16</v>
      </c>
      <c r="B411">
        <v>81.820999999999998</v>
      </c>
      <c r="C411">
        <v>111.288</v>
      </c>
      <c r="D411">
        <v>128</v>
      </c>
      <c r="E411">
        <v>65</v>
      </c>
      <c r="F411">
        <v>141</v>
      </c>
      <c r="G411">
        <v>38.262999999999998</v>
      </c>
      <c r="H411">
        <v>8.1189999999999998</v>
      </c>
      <c r="I411">
        <v>12.423</v>
      </c>
      <c r="J411">
        <v>0.70199999999999996</v>
      </c>
      <c r="K411">
        <v>9105.6990000000005</v>
      </c>
      <c r="L411">
        <v>115</v>
      </c>
      <c r="M411">
        <v>1.7171641304818697</v>
      </c>
      <c r="N411">
        <v>0.56131663250507335</v>
      </c>
      <c r="O411">
        <v>0.98099999999999998</v>
      </c>
      <c r="P411" s="2">
        <f t="shared" si="13"/>
        <v>1.5301145461263703</v>
      </c>
      <c r="Q411" t="str">
        <f t="shared" si="12"/>
        <v>eliptica</v>
      </c>
    </row>
    <row r="412" spans="1:17" x14ac:dyDescent="0.35">
      <c r="A412" t="s">
        <v>16</v>
      </c>
      <c r="B412">
        <v>126.07599999999999</v>
      </c>
      <c r="C412">
        <v>121.934</v>
      </c>
      <c r="D412">
        <v>140</v>
      </c>
      <c r="E412">
        <v>60</v>
      </c>
      <c r="F412">
        <v>155</v>
      </c>
      <c r="G412">
        <v>51.677999999999997</v>
      </c>
      <c r="H412">
        <v>9.6349999999999998</v>
      </c>
      <c r="I412">
        <v>16.238</v>
      </c>
      <c r="J412">
        <v>0.59299999999999997</v>
      </c>
      <c r="K412">
        <v>15372.976000000001</v>
      </c>
      <c r="L412">
        <v>127</v>
      </c>
      <c r="M412">
        <v>1.9001641304818697</v>
      </c>
      <c r="N412">
        <v>0.49156422528077487</v>
      </c>
      <c r="O412">
        <v>0.98099999999999998</v>
      </c>
      <c r="P412" s="2">
        <f t="shared" si="13"/>
        <v>1.6853139595225739</v>
      </c>
      <c r="Q412" t="str">
        <f t="shared" si="12"/>
        <v>eliptica</v>
      </c>
    </row>
    <row r="413" spans="1:17" x14ac:dyDescent="0.35">
      <c r="A413" t="s">
        <v>16</v>
      </c>
      <c r="B413">
        <v>103.81100000000001</v>
      </c>
      <c r="C413">
        <v>128.29499999999999</v>
      </c>
      <c r="D413">
        <v>148</v>
      </c>
      <c r="E413">
        <v>63</v>
      </c>
      <c r="F413">
        <v>160</v>
      </c>
      <c r="G413">
        <v>43.951999999999998</v>
      </c>
      <c r="H413">
        <v>9.9779999999999998</v>
      </c>
      <c r="I413">
        <v>13.548</v>
      </c>
      <c r="J413">
        <v>0.67500000000000004</v>
      </c>
      <c r="K413">
        <v>13318.375</v>
      </c>
      <c r="L413">
        <v>137</v>
      </c>
      <c r="M413">
        <v>1.6221641304818697</v>
      </c>
      <c r="N413">
        <v>0.60469311000522219</v>
      </c>
      <c r="O413">
        <v>0.97599999999999998</v>
      </c>
      <c r="P413" s="2">
        <f t="shared" si="13"/>
        <v>1.3577871316897174</v>
      </c>
      <c r="Q413" t="str">
        <f t="shared" si="12"/>
        <v>esferica</v>
      </c>
    </row>
    <row r="414" spans="1:17" x14ac:dyDescent="0.35">
      <c r="A414" t="s">
        <v>16</v>
      </c>
      <c r="B414">
        <v>133.37700000000001</v>
      </c>
      <c r="C414">
        <v>128.04400000000001</v>
      </c>
      <c r="D414">
        <v>156</v>
      </c>
      <c r="E414">
        <v>63</v>
      </c>
      <c r="F414">
        <v>168</v>
      </c>
      <c r="G414">
        <v>47.137999999999998</v>
      </c>
      <c r="H414">
        <v>11.69</v>
      </c>
      <c r="I414">
        <v>14.38</v>
      </c>
      <c r="J414">
        <v>0.754</v>
      </c>
      <c r="K414">
        <v>17078.096000000001</v>
      </c>
      <c r="L414">
        <v>131</v>
      </c>
      <c r="M414">
        <v>1.4071641304818698</v>
      </c>
      <c r="N414">
        <v>0.72773881529280748</v>
      </c>
      <c r="O414">
        <v>0.98399999999999999</v>
      </c>
      <c r="P414" s="2">
        <f t="shared" si="13"/>
        <v>1.2301112061591104</v>
      </c>
      <c r="Q414" t="str">
        <f t="shared" si="12"/>
        <v>esferica</v>
      </c>
    </row>
    <row r="415" spans="1:17" x14ac:dyDescent="0.35">
      <c r="A415" t="s">
        <v>16</v>
      </c>
      <c r="B415">
        <v>105.151</v>
      </c>
      <c r="C415">
        <v>114.152</v>
      </c>
      <c r="D415">
        <v>136</v>
      </c>
      <c r="E415">
        <v>64</v>
      </c>
      <c r="F415">
        <v>149</v>
      </c>
      <c r="G415">
        <v>46.636000000000003</v>
      </c>
      <c r="H415">
        <v>8.7059999999999995</v>
      </c>
      <c r="I415">
        <v>15.505000000000001</v>
      </c>
      <c r="J415">
        <v>0.60799999999999998</v>
      </c>
      <c r="K415">
        <v>12003.102000000001</v>
      </c>
      <c r="L415">
        <v>117</v>
      </c>
      <c r="M415">
        <v>1.9251641304818699</v>
      </c>
      <c r="N415">
        <v>0.48293837816106883</v>
      </c>
      <c r="O415">
        <v>0.98099999999999998</v>
      </c>
      <c r="P415" s="2">
        <f t="shared" si="13"/>
        <v>1.7809556627613141</v>
      </c>
      <c r="Q415" t="str">
        <f t="shared" si="12"/>
        <v>eliptica</v>
      </c>
    </row>
    <row r="416" spans="1:17" x14ac:dyDescent="0.35">
      <c r="A416" t="s">
        <v>16</v>
      </c>
      <c r="B416">
        <v>113.538</v>
      </c>
      <c r="C416">
        <v>127.526</v>
      </c>
      <c r="D416">
        <v>146</v>
      </c>
      <c r="E416">
        <v>63</v>
      </c>
      <c r="F416">
        <v>157</v>
      </c>
      <c r="G416">
        <v>45.604999999999997</v>
      </c>
      <c r="H416">
        <v>11.592000000000001</v>
      </c>
      <c r="I416">
        <v>13.891</v>
      </c>
      <c r="J416">
        <v>0.68600000000000005</v>
      </c>
      <c r="K416">
        <v>14479.05</v>
      </c>
      <c r="L416">
        <v>134</v>
      </c>
      <c r="M416">
        <v>1.7731641304818697</v>
      </c>
      <c r="N416">
        <v>0.53832205633173946</v>
      </c>
      <c r="O416">
        <v>0.98299999999999998</v>
      </c>
      <c r="P416" s="2">
        <f t="shared" si="13"/>
        <v>1.1983264320220841</v>
      </c>
      <c r="Q416" t="str">
        <f t="shared" si="12"/>
        <v>esferica</v>
      </c>
    </row>
    <row r="417" spans="1:17" x14ac:dyDescent="0.35">
      <c r="A417" t="s">
        <v>16</v>
      </c>
      <c r="B417">
        <v>141.46299999999999</v>
      </c>
      <c r="C417">
        <v>122.788</v>
      </c>
      <c r="D417">
        <v>144</v>
      </c>
      <c r="E417">
        <v>64</v>
      </c>
      <c r="F417">
        <v>156</v>
      </c>
      <c r="G417">
        <v>53.101999999999997</v>
      </c>
      <c r="H417">
        <v>10.858000000000001</v>
      </c>
      <c r="I417">
        <v>16.483000000000001</v>
      </c>
      <c r="J417">
        <v>0.63</v>
      </c>
      <c r="K417">
        <v>17370.017</v>
      </c>
      <c r="L417">
        <v>131</v>
      </c>
      <c r="M417">
        <v>1.7061641304818698</v>
      </c>
      <c r="N417">
        <v>0.56595312393129471</v>
      </c>
      <c r="O417">
        <v>0.98399999999999999</v>
      </c>
      <c r="P417" s="2">
        <f t="shared" si="13"/>
        <v>1.5180512064836986</v>
      </c>
      <c r="Q417" t="str">
        <f t="shared" si="12"/>
        <v>eliptica</v>
      </c>
    </row>
    <row r="418" spans="1:17" x14ac:dyDescent="0.35">
      <c r="A418" t="s">
        <v>16</v>
      </c>
      <c r="B418">
        <v>157.46700000000001</v>
      </c>
      <c r="C418">
        <v>124.96299999999999</v>
      </c>
      <c r="D418">
        <v>148</v>
      </c>
      <c r="E418">
        <v>65</v>
      </c>
      <c r="F418">
        <v>161</v>
      </c>
      <c r="G418">
        <v>55.863</v>
      </c>
      <c r="H418">
        <v>11.788</v>
      </c>
      <c r="I418">
        <v>16.922999999999998</v>
      </c>
      <c r="J418">
        <v>0.63400000000000001</v>
      </c>
      <c r="K418">
        <v>19677.656999999999</v>
      </c>
      <c r="L418">
        <v>132</v>
      </c>
      <c r="M418">
        <v>1.6891641304818696</v>
      </c>
      <c r="N418">
        <v>0.57352317247174822</v>
      </c>
      <c r="O418">
        <v>0.98199999999999998</v>
      </c>
      <c r="P418" s="2">
        <f t="shared" si="13"/>
        <v>1.435612487275195</v>
      </c>
      <c r="Q418" t="str">
        <f t="shared" si="12"/>
        <v>esferica</v>
      </c>
    </row>
    <row r="419" spans="1:17" x14ac:dyDescent="0.35">
      <c r="A419" t="s">
        <v>16</v>
      </c>
      <c r="B419">
        <v>130.87200000000001</v>
      </c>
      <c r="C419">
        <v>128.25800000000001</v>
      </c>
      <c r="D419">
        <v>140</v>
      </c>
      <c r="E419">
        <v>62</v>
      </c>
      <c r="F419">
        <v>159</v>
      </c>
      <c r="G419">
        <v>47.71</v>
      </c>
      <c r="H419">
        <v>10.858000000000001</v>
      </c>
      <c r="I419">
        <v>15.26</v>
      </c>
      <c r="J419">
        <v>0.72299999999999998</v>
      </c>
      <c r="K419">
        <v>16785.491000000002</v>
      </c>
      <c r="L419">
        <v>134</v>
      </c>
      <c r="M419">
        <v>1.5831641304818698</v>
      </c>
      <c r="N419">
        <v>0.62400135938118262</v>
      </c>
      <c r="O419">
        <v>0.98499999999999999</v>
      </c>
      <c r="P419" s="2">
        <f t="shared" si="13"/>
        <v>1.4054153619451095</v>
      </c>
      <c r="Q419" t="str">
        <f t="shared" si="12"/>
        <v>esferica</v>
      </c>
    </row>
    <row r="420" spans="1:17" x14ac:dyDescent="0.35">
      <c r="A420" t="s">
        <v>16</v>
      </c>
      <c r="B420">
        <v>120.839</v>
      </c>
      <c r="C420">
        <v>131.804</v>
      </c>
      <c r="D420">
        <v>152</v>
      </c>
      <c r="E420">
        <v>64</v>
      </c>
      <c r="F420">
        <v>163</v>
      </c>
      <c r="G420">
        <v>45.378999999999998</v>
      </c>
      <c r="H420">
        <v>10.417999999999999</v>
      </c>
      <c r="I420">
        <v>15.162000000000001</v>
      </c>
      <c r="J420">
        <v>0.73699999999999999</v>
      </c>
      <c r="K420">
        <v>15927.085999999999</v>
      </c>
      <c r="L420">
        <v>137</v>
      </c>
      <c r="M420">
        <v>1.6531641304818698</v>
      </c>
      <c r="N420">
        <v>0.58984906290749706</v>
      </c>
      <c r="O420">
        <v>0.98399999999999999</v>
      </c>
      <c r="P420" s="2">
        <f t="shared" si="13"/>
        <v>1.4553657131887121</v>
      </c>
      <c r="Q420" t="str">
        <f t="shared" si="12"/>
        <v>esferica</v>
      </c>
    </row>
    <row r="421" spans="1:17" x14ac:dyDescent="0.35">
      <c r="A421" t="s">
        <v>16</v>
      </c>
      <c r="B421">
        <v>116.05200000000001</v>
      </c>
      <c r="C421">
        <v>123.27200000000001</v>
      </c>
      <c r="D421">
        <v>148</v>
      </c>
      <c r="E421">
        <v>59</v>
      </c>
      <c r="F421">
        <v>160</v>
      </c>
      <c r="G421">
        <v>46.234999999999999</v>
      </c>
      <c r="H421">
        <v>11.054</v>
      </c>
      <c r="I421">
        <v>13.548</v>
      </c>
      <c r="J421">
        <v>0.68200000000000005</v>
      </c>
      <c r="K421">
        <v>14305.999</v>
      </c>
      <c r="L421">
        <v>130</v>
      </c>
      <c r="M421">
        <v>1.4491641304818697</v>
      </c>
      <c r="N421">
        <v>0.70033388336489266</v>
      </c>
      <c r="O421">
        <v>0.97799999999999998</v>
      </c>
      <c r="P421" s="2">
        <f t="shared" si="13"/>
        <v>1.2256196851818346</v>
      </c>
      <c r="Q421" t="str">
        <f t="shared" si="12"/>
        <v>esferica</v>
      </c>
    </row>
    <row r="422" spans="1:17" x14ac:dyDescent="0.35">
      <c r="A422" t="s">
        <v>16</v>
      </c>
      <c r="B422">
        <v>117.248</v>
      </c>
      <c r="C422">
        <v>129.64699999999999</v>
      </c>
      <c r="D422">
        <v>149</v>
      </c>
      <c r="E422">
        <v>69</v>
      </c>
      <c r="F422">
        <v>160</v>
      </c>
      <c r="G422">
        <v>50.942999999999998</v>
      </c>
      <c r="H422">
        <v>9.0969999999999995</v>
      </c>
      <c r="I422">
        <v>15.945</v>
      </c>
      <c r="J422">
        <v>0.56799999999999995</v>
      </c>
      <c r="K422">
        <v>15200.871999999999</v>
      </c>
      <c r="L422">
        <v>135</v>
      </c>
      <c r="M422">
        <v>1.7330000000000001</v>
      </c>
      <c r="N422">
        <v>0.57699999999999996</v>
      </c>
      <c r="O422">
        <v>0.97899999999999998</v>
      </c>
      <c r="P422" s="2">
        <f t="shared" si="13"/>
        <v>1.7527756403209851</v>
      </c>
      <c r="Q422" t="str">
        <f t="shared" si="12"/>
        <v>eliptica</v>
      </c>
    </row>
    <row r="423" spans="1:17" x14ac:dyDescent="0.35">
      <c r="A423" t="s">
        <v>16</v>
      </c>
      <c r="B423">
        <v>107.854</v>
      </c>
      <c r="C423">
        <v>122.64700000000001</v>
      </c>
      <c r="D423">
        <v>144</v>
      </c>
      <c r="E423">
        <v>66</v>
      </c>
      <c r="F423">
        <v>156</v>
      </c>
      <c r="G423">
        <v>45.688000000000002</v>
      </c>
      <c r="H423">
        <v>9.44</v>
      </c>
      <c r="I423">
        <v>14.574999999999999</v>
      </c>
      <c r="J423">
        <v>0.64900000000000002</v>
      </c>
      <c r="K423">
        <v>13227.954</v>
      </c>
      <c r="L423">
        <v>129</v>
      </c>
      <c r="M423">
        <v>1.5640000000000001</v>
      </c>
      <c r="N423">
        <v>0.63900000000000001</v>
      </c>
      <c r="O423">
        <v>0.98</v>
      </c>
      <c r="P423" s="2">
        <f t="shared" si="13"/>
        <v>1.5439618644067796</v>
      </c>
      <c r="Q423" t="str">
        <f t="shared" si="12"/>
        <v>eliptica</v>
      </c>
    </row>
    <row r="424" spans="1:17" x14ac:dyDescent="0.35">
      <c r="A424" t="s">
        <v>16</v>
      </c>
      <c r="B424">
        <v>134.46299999999999</v>
      </c>
      <c r="C424">
        <v>135.749</v>
      </c>
      <c r="D424">
        <v>153</v>
      </c>
      <c r="E424">
        <v>69</v>
      </c>
      <c r="F424">
        <v>169</v>
      </c>
      <c r="G424">
        <v>47.453000000000003</v>
      </c>
      <c r="H424">
        <v>10.565</v>
      </c>
      <c r="I424">
        <v>16.042999999999999</v>
      </c>
      <c r="J424">
        <v>0.75</v>
      </c>
      <c r="K424">
        <v>18253.262999999999</v>
      </c>
      <c r="L424">
        <v>141</v>
      </c>
      <c r="M424">
        <v>1.5880000000000001</v>
      </c>
      <c r="N424">
        <v>0.63</v>
      </c>
      <c r="O424">
        <v>0.98799999999999999</v>
      </c>
      <c r="P424" s="2">
        <f t="shared" si="13"/>
        <v>1.5185044959772835</v>
      </c>
      <c r="Q424" t="str">
        <f t="shared" si="12"/>
        <v>eliptica</v>
      </c>
    </row>
    <row r="425" spans="1:17" x14ac:dyDescent="0.35">
      <c r="A425" t="s">
        <v>16</v>
      </c>
      <c r="B425">
        <v>117.899</v>
      </c>
      <c r="C425">
        <v>130.81100000000001</v>
      </c>
      <c r="D425">
        <v>147</v>
      </c>
      <c r="E425">
        <v>70</v>
      </c>
      <c r="F425">
        <v>167</v>
      </c>
      <c r="G425">
        <v>45.445999999999998</v>
      </c>
      <c r="H425">
        <v>10.32</v>
      </c>
      <c r="I425">
        <v>15.162000000000001</v>
      </c>
      <c r="J425">
        <v>0.71699999999999997</v>
      </c>
      <c r="K425">
        <v>15422.544</v>
      </c>
      <c r="L425">
        <v>138</v>
      </c>
      <c r="M425">
        <v>1.6579999999999999</v>
      </c>
      <c r="N425">
        <v>0.60299999999999998</v>
      </c>
      <c r="O425">
        <v>0.98599999999999999</v>
      </c>
      <c r="P425" s="2">
        <f t="shared" si="13"/>
        <v>1.469186046511628</v>
      </c>
      <c r="Q425" t="str">
        <f t="shared" si="12"/>
        <v>esferica</v>
      </c>
    </row>
    <row r="426" spans="1:17" x14ac:dyDescent="0.35">
      <c r="A426" t="s">
        <v>16</v>
      </c>
      <c r="B426">
        <v>119.071</v>
      </c>
      <c r="C426">
        <v>129.94800000000001</v>
      </c>
      <c r="D426">
        <v>149</v>
      </c>
      <c r="E426">
        <v>69</v>
      </c>
      <c r="F426">
        <v>255</v>
      </c>
      <c r="G426">
        <v>46.616999999999997</v>
      </c>
      <c r="H426">
        <v>10.417999999999999</v>
      </c>
      <c r="I426">
        <v>15.651999999999999</v>
      </c>
      <c r="J426">
        <v>0.68899999999999995</v>
      </c>
      <c r="K426">
        <v>15473.124</v>
      </c>
      <c r="L426">
        <v>136</v>
      </c>
      <c r="M426">
        <v>1.804</v>
      </c>
      <c r="N426">
        <v>0.55400000000000005</v>
      </c>
      <c r="O426">
        <v>0.98599999999999999</v>
      </c>
      <c r="P426" s="2">
        <f t="shared" si="13"/>
        <v>1.5023996928393166</v>
      </c>
      <c r="Q426" t="str">
        <f t="shared" si="12"/>
        <v>eliptica</v>
      </c>
    </row>
    <row r="427" spans="1:17" x14ac:dyDescent="0.35">
      <c r="A427" t="s">
        <v>16</v>
      </c>
      <c r="B427">
        <v>119.995</v>
      </c>
      <c r="C427">
        <v>128.81899999999999</v>
      </c>
      <c r="D427">
        <v>149</v>
      </c>
      <c r="E427">
        <v>68</v>
      </c>
      <c r="F427">
        <v>164</v>
      </c>
      <c r="G427">
        <v>46.448999999999998</v>
      </c>
      <c r="H427">
        <v>9.44</v>
      </c>
      <c r="I427">
        <v>15.651999999999999</v>
      </c>
      <c r="J427">
        <v>0.69899999999999995</v>
      </c>
      <c r="K427">
        <v>15457.584000000001</v>
      </c>
      <c r="L427">
        <v>132</v>
      </c>
      <c r="M427">
        <v>1.679</v>
      </c>
      <c r="N427">
        <v>0.59599999999999997</v>
      </c>
      <c r="O427">
        <v>0.98499999999999999</v>
      </c>
      <c r="P427" s="2">
        <f t="shared" si="13"/>
        <v>1.6580508474576272</v>
      </c>
      <c r="Q427" t="str">
        <f t="shared" si="12"/>
        <v>eliptica</v>
      </c>
    </row>
    <row r="428" spans="1:17" x14ac:dyDescent="0.35">
      <c r="A428" t="s">
        <v>16</v>
      </c>
      <c r="B428">
        <v>122.913</v>
      </c>
      <c r="C428">
        <v>124.672</v>
      </c>
      <c r="D428">
        <v>143</v>
      </c>
      <c r="E428">
        <v>66</v>
      </c>
      <c r="F428">
        <v>162</v>
      </c>
      <c r="G428">
        <v>54.834000000000003</v>
      </c>
      <c r="H428">
        <v>9.8309999999999995</v>
      </c>
      <c r="I428">
        <v>16.042999999999999</v>
      </c>
      <c r="J428">
        <v>0.51400000000000001</v>
      </c>
      <c r="K428">
        <v>15323.874</v>
      </c>
      <c r="L428">
        <v>132</v>
      </c>
      <c r="M428">
        <v>1.6040000000000001</v>
      </c>
      <c r="N428">
        <v>0.623</v>
      </c>
      <c r="O428">
        <v>0.97299999999999998</v>
      </c>
      <c r="P428" s="2">
        <f t="shared" si="13"/>
        <v>1.6318787508900416</v>
      </c>
      <c r="Q428" t="str">
        <f t="shared" si="12"/>
        <v>eliptica</v>
      </c>
    </row>
    <row r="429" spans="1:17" x14ac:dyDescent="0.35">
      <c r="A429" t="s">
        <v>16</v>
      </c>
      <c r="B429">
        <v>120.212</v>
      </c>
      <c r="C429">
        <v>126.527</v>
      </c>
      <c r="D429">
        <v>153</v>
      </c>
      <c r="E429">
        <v>68</v>
      </c>
      <c r="F429">
        <v>165</v>
      </c>
      <c r="G429">
        <v>49.127000000000002</v>
      </c>
      <c r="H429">
        <v>9.6349999999999998</v>
      </c>
      <c r="I429">
        <v>15.016</v>
      </c>
      <c r="J429">
        <v>0.626</v>
      </c>
      <c r="K429">
        <v>15210.087</v>
      </c>
      <c r="L429">
        <v>133</v>
      </c>
      <c r="M429">
        <v>1.536</v>
      </c>
      <c r="N429">
        <v>0.65100000000000002</v>
      </c>
      <c r="O429">
        <v>0.98099999999999998</v>
      </c>
      <c r="P429" s="2">
        <f t="shared" si="13"/>
        <v>1.5584846912298911</v>
      </c>
      <c r="Q429" t="str">
        <f t="shared" si="12"/>
        <v>eliptica</v>
      </c>
    </row>
    <row r="430" spans="1:17" x14ac:dyDescent="0.35">
      <c r="A430" t="s">
        <v>16</v>
      </c>
      <c r="B430">
        <v>143.86000000000001</v>
      </c>
      <c r="C430">
        <v>127.777</v>
      </c>
      <c r="D430">
        <v>144</v>
      </c>
      <c r="E430">
        <v>67</v>
      </c>
      <c r="F430">
        <v>159</v>
      </c>
      <c r="G430">
        <v>52.085999999999999</v>
      </c>
      <c r="H430">
        <v>10.76</v>
      </c>
      <c r="I430">
        <v>16.581</v>
      </c>
      <c r="J430">
        <v>0.66600000000000004</v>
      </c>
      <c r="K430">
        <v>18381.955999999998</v>
      </c>
      <c r="L430">
        <v>133</v>
      </c>
      <c r="M430">
        <v>1.534</v>
      </c>
      <c r="N430">
        <v>0.65200000000000002</v>
      </c>
      <c r="O430">
        <v>0.98299999999999998</v>
      </c>
      <c r="P430" s="2">
        <f t="shared" si="13"/>
        <v>1.540985130111524</v>
      </c>
      <c r="Q430" t="str">
        <f t="shared" si="12"/>
        <v>eliptica</v>
      </c>
    </row>
    <row r="431" spans="1:17" x14ac:dyDescent="0.35">
      <c r="A431" t="s">
        <v>16</v>
      </c>
      <c r="B431">
        <v>115.11199999999999</v>
      </c>
      <c r="C431">
        <v>127.752</v>
      </c>
      <c r="D431">
        <v>144</v>
      </c>
      <c r="E431">
        <v>66</v>
      </c>
      <c r="F431">
        <v>159</v>
      </c>
      <c r="G431">
        <v>46.966000000000001</v>
      </c>
      <c r="H431">
        <v>8.7059999999999995</v>
      </c>
      <c r="I431">
        <v>16.335999999999999</v>
      </c>
      <c r="J431">
        <v>0.65600000000000003</v>
      </c>
      <c r="K431">
        <v>14705.767</v>
      </c>
      <c r="L431">
        <v>133</v>
      </c>
      <c r="M431">
        <v>1.855</v>
      </c>
      <c r="N431">
        <v>0.53900000000000003</v>
      </c>
      <c r="O431">
        <v>0.98399999999999999</v>
      </c>
      <c r="P431" s="2">
        <f t="shared" si="13"/>
        <v>1.8764070755800597</v>
      </c>
      <c r="Q431" t="str">
        <f t="shared" si="12"/>
        <v>eliptica</v>
      </c>
    </row>
    <row r="432" spans="1:17" x14ac:dyDescent="0.35">
      <c r="A432" t="s">
        <v>16</v>
      </c>
      <c r="B432">
        <v>115.887</v>
      </c>
      <c r="C432">
        <v>122.80200000000001</v>
      </c>
      <c r="D432">
        <v>139</v>
      </c>
      <c r="E432">
        <v>68</v>
      </c>
      <c r="F432">
        <v>156</v>
      </c>
      <c r="G432">
        <v>50.008000000000003</v>
      </c>
      <c r="H432">
        <v>10.271000000000001</v>
      </c>
      <c r="I432">
        <v>15.456</v>
      </c>
      <c r="J432">
        <v>0.58199999999999996</v>
      </c>
      <c r="K432">
        <v>14231.128000000001</v>
      </c>
      <c r="L432">
        <v>129</v>
      </c>
      <c r="M432">
        <v>1.577</v>
      </c>
      <c r="N432">
        <v>0.63400000000000001</v>
      </c>
      <c r="O432">
        <v>0.96799999999999997</v>
      </c>
      <c r="P432" s="2">
        <f t="shared" si="13"/>
        <v>1.5048193944114496</v>
      </c>
      <c r="Q432" t="str">
        <f t="shared" si="12"/>
        <v>eliptica</v>
      </c>
    </row>
    <row r="433" spans="1:17" x14ac:dyDescent="0.35">
      <c r="A433" t="s">
        <v>16</v>
      </c>
      <c r="B433">
        <v>123.009</v>
      </c>
      <c r="C433">
        <v>125.989</v>
      </c>
      <c r="D433">
        <v>149</v>
      </c>
      <c r="E433">
        <v>68</v>
      </c>
      <c r="F433">
        <v>164</v>
      </c>
      <c r="G433">
        <v>50.746000000000002</v>
      </c>
      <c r="H433">
        <v>10.712</v>
      </c>
      <c r="I433">
        <v>15.749000000000001</v>
      </c>
      <c r="J433">
        <v>0.6</v>
      </c>
      <c r="K433">
        <v>15497.779</v>
      </c>
      <c r="L433">
        <v>131</v>
      </c>
      <c r="M433">
        <v>1.732</v>
      </c>
      <c r="N433">
        <v>0.57699999999999996</v>
      </c>
      <c r="O433">
        <v>0.98099999999999998</v>
      </c>
      <c r="P433" s="2">
        <f t="shared" si="13"/>
        <v>1.4702203136669156</v>
      </c>
      <c r="Q433" t="str">
        <f t="shared" si="12"/>
        <v>esferica</v>
      </c>
    </row>
    <row r="434" spans="1:17" x14ac:dyDescent="0.35">
      <c r="A434" t="s">
        <v>16</v>
      </c>
      <c r="B434">
        <v>95.578999999999994</v>
      </c>
      <c r="C434">
        <v>129.97300000000001</v>
      </c>
      <c r="D434">
        <v>144</v>
      </c>
      <c r="E434">
        <v>69</v>
      </c>
      <c r="F434">
        <v>160</v>
      </c>
      <c r="G434">
        <v>43.935000000000002</v>
      </c>
      <c r="H434">
        <v>9.2439999999999998</v>
      </c>
      <c r="I434">
        <v>14.574999999999999</v>
      </c>
      <c r="J434">
        <v>0.622</v>
      </c>
      <c r="K434">
        <v>12422.677</v>
      </c>
      <c r="L434">
        <v>137</v>
      </c>
      <c r="M434">
        <v>1.865</v>
      </c>
      <c r="N434">
        <v>0.53600000000000003</v>
      </c>
      <c r="O434">
        <v>0.97899999999999998</v>
      </c>
      <c r="P434" s="2">
        <f t="shared" si="13"/>
        <v>1.5766983989614884</v>
      </c>
      <c r="Q434" t="str">
        <f t="shared" si="12"/>
        <v>eliptica</v>
      </c>
    </row>
    <row r="435" spans="1:17" x14ac:dyDescent="0.35">
      <c r="A435" t="s">
        <v>16</v>
      </c>
      <c r="B435">
        <v>120.72199999999999</v>
      </c>
      <c r="C435">
        <v>128.25899999999999</v>
      </c>
      <c r="D435">
        <v>153</v>
      </c>
      <c r="E435">
        <v>68</v>
      </c>
      <c r="F435">
        <v>165</v>
      </c>
      <c r="G435">
        <v>51.655000000000001</v>
      </c>
      <c r="H435">
        <v>9.6839999999999993</v>
      </c>
      <c r="I435">
        <v>16.286999999999999</v>
      </c>
      <c r="J435">
        <v>0.56899999999999995</v>
      </c>
      <c r="K435">
        <v>15483.643</v>
      </c>
      <c r="L435">
        <v>135</v>
      </c>
      <c r="M435">
        <v>1.879</v>
      </c>
      <c r="N435">
        <v>0.53200000000000003</v>
      </c>
      <c r="O435">
        <v>0.98</v>
      </c>
      <c r="P435" s="2">
        <f t="shared" si="13"/>
        <v>1.6818463444857497</v>
      </c>
      <c r="Q435" t="str">
        <f t="shared" si="12"/>
        <v>eliptica</v>
      </c>
    </row>
    <row r="436" spans="1:17" x14ac:dyDescent="0.35">
      <c r="A436" t="s">
        <v>16</v>
      </c>
      <c r="B436">
        <v>111.44199999999999</v>
      </c>
      <c r="C436">
        <v>126.416</v>
      </c>
      <c r="D436">
        <v>151</v>
      </c>
      <c r="E436">
        <v>69</v>
      </c>
      <c r="F436">
        <v>162</v>
      </c>
      <c r="G436">
        <v>46.447000000000003</v>
      </c>
      <c r="H436">
        <v>9.391</v>
      </c>
      <c r="I436">
        <v>14.82</v>
      </c>
      <c r="J436">
        <v>0.64900000000000002</v>
      </c>
      <c r="K436">
        <v>14088.132</v>
      </c>
      <c r="L436">
        <v>129</v>
      </c>
      <c r="M436">
        <v>1.587</v>
      </c>
      <c r="N436">
        <v>0.63</v>
      </c>
      <c r="O436">
        <v>0.98299999999999998</v>
      </c>
      <c r="P436" s="2">
        <f t="shared" si="13"/>
        <v>1.5781066979022469</v>
      </c>
      <c r="Q436" t="str">
        <f t="shared" si="12"/>
        <v>eliptica</v>
      </c>
    </row>
    <row r="437" spans="1:17" x14ac:dyDescent="0.35">
      <c r="A437" t="s">
        <v>16</v>
      </c>
      <c r="B437">
        <v>126.85599999999999</v>
      </c>
      <c r="C437">
        <v>128.88300000000001</v>
      </c>
      <c r="D437">
        <v>149</v>
      </c>
      <c r="E437">
        <v>64</v>
      </c>
      <c r="F437">
        <v>162</v>
      </c>
      <c r="G437">
        <v>51.13</v>
      </c>
      <c r="H437">
        <v>9.4890000000000008</v>
      </c>
      <c r="I437">
        <v>16.091999999999999</v>
      </c>
      <c r="J437">
        <v>0.61</v>
      </c>
      <c r="K437">
        <v>16349.59</v>
      </c>
      <c r="L437">
        <v>136</v>
      </c>
      <c r="M437">
        <v>1.6839999999999999</v>
      </c>
      <c r="N437">
        <v>0.59399999999999997</v>
      </c>
      <c r="O437">
        <v>0.98199999999999998</v>
      </c>
      <c r="P437" s="2">
        <f t="shared" si="13"/>
        <v>1.6958583623142582</v>
      </c>
      <c r="Q437" t="str">
        <f t="shared" si="12"/>
        <v>eliptica</v>
      </c>
    </row>
    <row r="438" spans="1:17" x14ac:dyDescent="0.35">
      <c r="A438" t="s">
        <v>16</v>
      </c>
      <c r="B438">
        <v>142.56299999999999</v>
      </c>
      <c r="C438">
        <v>137.28700000000001</v>
      </c>
      <c r="D438">
        <v>153</v>
      </c>
      <c r="E438">
        <v>66</v>
      </c>
      <c r="F438">
        <v>171</v>
      </c>
      <c r="G438">
        <v>51.43</v>
      </c>
      <c r="H438">
        <v>10.808999999999999</v>
      </c>
      <c r="I438">
        <v>16.728000000000002</v>
      </c>
      <c r="J438">
        <v>0.67700000000000005</v>
      </c>
      <c r="K438">
        <v>19572.159</v>
      </c>
      <c r="L438">
        <v>145</v>
      </c>
      <c r="M438">
        <v>1.538</v>
      </c>
      <c r="N438">
        <v>0.65</v>
      </c>
      <c r="O438">
        <v>0.98399999999999999</v>
      </c>
      <c r="P438" s="2">
        <f t="shared" si="13"/>
        <v>1.547599222869831</v>
      </c>
      <c r="Q438" t="str">
        <f t="shared" si="12"/>
        <v>eliptica</v>
      </c>
    </row>
    <row r="439" spans="1:17" x14ac:dyDescent="0.35">
      <c r="A439" t="s">
        <v>16</v>
      </c>
      <c r="B439">
        <v>129.73400000000001</v>
      </c>
      <c r="C439">
        <v>126.312</v>
      </c>
      <c r="D439">
        <v>149</v>
      </c>
      <c r="E439">
        <v>69</v>
      </c>
      <c r="F439">
        <v>164</v>
      </c>
      <c r="G439">
        <v>49.777999999999999</v>
      </c>
      <c r="H439">
        <v>9.8800000000000008</v>
      </c>
      <c r="I439">
        <v>16.091999999999999</v>
      </c>
      <c r="J439">
        <v>0.65800000000000003</v>
      </c>
      <c r="K439">
        <v>16386.978999999999</v>
      </c>
      <c r="L439">
        <v>131</v>
      </c>
      <c r="M439">
        <v>1.631</v>
      </c>
      <c r="N439">
        <v>0.61299999999999999</v>
      </c>
      <c r="O439">
        <v>0.98499999999999999</v>
      </c>
      <c r="P439" s="2">
        <f t="shared" si="13"/>
        <v>1.6287449392712547</v>
      </c>
      <c r="Q439" t="str">
        <f t="shared" si="12"/>
        <v>eliptica</v>
      </c>
    </row>
    <row r="440" spans="1:17" x14ac:dyDescent="0.35">
      <c r="A440" t="s">
        <v>16</v>
      </c>
      <c r="B440">
        <v>130.57599999999999</v>
      </c>
      <c r="C440">
        <v>127.48399999999999</v>
      </c>
      <c r="D440">
        <v>151</v>
      </c>
      <c r="E440">
        <v>67</v>
      </c>
      <c r="F440">
        <v>161</v>
      </c>
      <c r="G440">
        <v>50.463999999999999</v>
      </c>
      <c r="H440">
        <v>10.907</v>
      </c>
      <c r="I440">
        <v>16.042999999999999</v>
      </c>
      <c r="J440">
        <v>0.64400000000000002</v>
      </c>
      <c r="K440">
        <v>16646.346000000001</v>
      </c>
      <c r="L440">
        <v>134</v>
      </c>
      <c r="M440">
        <v>1.6359999999999999</v>
      </c>
      <c r="N440">
        <v>0.61099999999999999</v>
      </c>
      <c r="O440">
        <v>0.98299999999999998</v>
      </c>
      <c r="P440" s="2">
        <f t="shared" si="13"/>
        <v>1.4708902539653432</v>
      </c>
      <c r="Q440" t="str">
        <f t="shared" si="12"/>
        <v>esferica</v>
      </c>
    </row>
    <row r="441" spans="1:17" x14ac:dyDescent="0.35">
      <c r="A441" t="s">
        <v>16</v>
      </c>
      <c r="B441">
        <v>101.471</v>
      </c>
      <c r="C441">
        <v>121.878</v>
      </c>
      <c r="D441">
        <v>130</v>
      </c>
      <c r="E441">
        <v>69</v>
      </c>
      <c r="F441">
        <v>154</v>
      </c>
      <c r="G441">
        <v>42.274000000000001</v>
      </c>
      <c r="H441">
        <v>8.4619999999999997</v>
      </c>
      <c r="I441">
        <v>14.917999999999999</v>
      </c>
      <c r="J441">
        <v>0.71399999999999997</v>
      </c>
      <c r="K441">
        <v>12367.107</v>
      </c>
      <c r="L441">
        <v>126</v>
      </c>
      <c r="M441">
        <v>1.772</v>
      </c>
      <c r="N441">
        <v>0.56399999999999995</v>
      </c>
      <c r="O441">
        <v>0.98599999999999999</v>
      </c>
      <c r="P441" s="2">
        <f t="shared" si="13"/>
        <v>1.7629402032616401</v>
      </c>
      <c r="Q441" t="str">
        <f t="shared" si="12"/>
        <v>eliptica</v>
      </c>
    </row>
    <row r="442" spans="1:17" x14ac:dyDescent="0.35">
      <c r="A442" t="s">
        <v>16</v>
      </c>
      <c r="B442">
        <v>143.13499999999999</v>
      </c>
      <c r="C442">
        <v>131.13900000000001</v>
      </c>
      <c r="D442">
        <v>157</v>
      </c>
      <c r="E442">
        <v>68</v>
      </c>
      <c r="F442">
        <v>168</v>
      </c>
      <c r="G442">
        <v>52.027999999999999</v>
      </c>
      <c r="H442">
        <v>10.417999999999999</v>
      </c>
      <c r="I442">
        <v>16.385000000000002</v>
      </c>
      <c r="J442">
        <v>0.66400000000000003</v>
      </c>
      <c r="K442">
        <v>18770.54</v>
      </c>
      <c r="L442">
        <v>135</v>
      </c>
      <c r="M442">
        <v>1.593</v>
      </c>
      <c r="N442">
        <v>0.628</v>
      </c>
      <c r="O442">
        <v>0.98499999999999999</v>
      </c>
      <c r="P442" s="2">
        <f t="shared" si="13"/>
        <v>1.5727586868880785</v>
      </c>
      <c r="Q442" t="str">
        <f t="shared" si="12"/>
        <v>eliptica</v>
      </c>
    </row>
    <row r="443" spans="1:17" x14ac:dyDescent="0.35">
      <c r="A443" t="s">
        <v>16</v>
      </c>
      <c r="B443">
        <v>118.657</v>
      </c>
      <c r="C443">
        <v>133.46</v>
      </c>
      <c r="D443">
        <v>157</v>
      </c>
      <c r="E443">
        <v>67</v>
      </c>
      <c r="F443">
        <v>168</v>
      </c>
      <c r="G443">
        <v>47.835999999999999</v>
      </c>
      <c r="H443">
        <v>9.0969999999999995</v>
      </c>
      <c r="I443">
        <v>15.896000000000001</v>
      </c>
      <c r="J443">
        <v>0.65200000000000002</v>
      </c>
      <c r="K443">
        <v>15836.069</v>
      </c>
      <c r="L443">
        <v>141</v>
      </c>
      <c r="M443">
        <v>1.732</v>
      </c>
      <c r="N443">
        <v>0.57699999999999996</v>
      </c>
      <c r="O443">
        <v>0.98399999999999999</v>
      </c>
      <c r="P443" s="2">
        <f t="shared" si="13"/>
        <v>1.7473892492030341</v>
      </c>
      <c r="Q443" t="str">
        <f t="shared" si="12"/>
        <v>eliptica</v>
      </c>
    </row>
    <row r="444" spans="1:17" x14ac:dyDescent="0.35">
      <c r="A444" t="s">
        <v>16</v>
      </c>
      <c r="B444">
        <v>113.01900000000001</v>
      </c>
      <c r="C444">
        <v>124.443</v>
      </c>
      <c r="D444">
        <v>139</v>
      </c>
      <c r="E444">
        <v>67</v>
      </c>
      <c r="F444">
        <v>154</v>
      </c>
      <c r="G444">
        <v>44.991</v>
      </c>
      <c r="H444">
        <v>9.1950000000000003</v>
      </c>
      <c r="I444">
        <v>15.505000000000001</v>
      </c>
      <c r="J444">
        <v>0.70199999999999996</v>
      </c>
      <c r="K444">
        <v>14064.343000000001</v>
      </c>
      <c r="L444">
        <v>130</v>
      </c>
      <c r="M444">
        <v>1.778</v>
      </c>
      <c r="N444">
        <v>0.56200000000000006</v>
      </c>
      <c r="O444">
        <v>0.98699999999999999</v>
      </c>
      <c r="P444" s="2">
        <f t="shared" si="13"/>
        <v>1.6862425231103861</v>
      </c>
      <c r="Q444" t="str">
        <f t="shared" si="12"/>
        <v>eliptica</v>
      </c>
    </row>
    <row r="445" spans="1:17" x14ac:dyDescent="0.35">
      <c r="A445" t="s">
        <v>16</v>
      </c>
      <c r="B445">
        <v>103.476</v>
      </c>
      <c r="C445">
        <v>121.717</v>
      </c>
      <c r="D445">
        <v>139</v>
      </c>
      <c r="E445">
        <v>65</v>
      </c>
      <c r="F445">
        <v>255</v>
      </c>
      <c r="G445">
        <v>51.625999999999998</v>
      </c>
      <c r="H445">
        <v>8.5109999999999992</v>
      </c>
      <c r="I445">
        <v>15.358000000000001</v>
      </c>
      <c r="J445">
        <v>0.48799999999999999</v>
      </c>
      <c r="K445">
        <v>12594.745000000001</v>
      </c>
      <c r="L445">
        <v>126</v>
      </c>
      <c r="M445">
        <v>1.8240000000000001</v>
      </c>
      <c r="N445">
        <v>0.54800000000000004</v>
      </c>
      <c r="O445">
        <v>0.97099999999999997</v>
      </c>
      <c r="P445" s="2">
        <f t="shared" si="13"/>
        <v>1.8044883092468573</v>
      </c>
      <c r="Q445" t="str">
        <f t="shared" si="12"/>
        <v>eliptica</v>
      </c>
    </row>
    <row r="446" spans="1:17" x14ac:dyDescent="0.35">
      <c r="A446" t="s">
        <v>16</v>
      </c>
      <c r="B446">
        <v>112.90900000000001</v>
      </c>
      <c r="C446">
        <v>124.045</v>
      </c>
      <c r="D446">
        <v>149</v>
      </c>
      <c r="E446">
        <v>67</v>
      </c>
      <c r="F446">
        <v>158</v>
      </c>
      <c r="G446">
        <v>46.308999999999997</v>
      </c>
      <c r="H446">
        <v>10.076000000000001</v>
      </c>
      <c r="I446">
        <v>14.526999999999999</v>
      </c>
      <c r="J446">
        <v>0.66200000000000003</v>
      </c>
      <c r="K446">
        <v>14005.78</v>
      </c>
      <c r="L446">
        <v>129</v>
      </c>
      <c r="M446">
        <v>1.522</v>
      </c>
      <c r="N446">
        <v>0.65700000000000003</v>
      </c>
      <c r="O446">
        <v>0.98299999999999998</v>
      </c>
      <c r="P446" s="2">
        <f t="shared" si="13"/>
        <v>1.4417427550615323</v>
      </c>
      <c r="Q446" t="str">
        <f t="shared" si="12"/>
        <v>esferica</v>
      </c>
    </row>
    <row r="447" spans="1:17" x14ac:dyDescent="0.35">
      <c r="A447" t="s">
        <v>16</v>
      </c>
      <c r="B447">
        <v>127.901</v>
      </c>
      <c r="C447">
        <v>128.32400000000001</v>
      </c>
      <c r="D447">
        <v>135</v>
      </c>
      <c r="E447">
        <v>69</v>
      </c>
      <c r="F447">
        <v>164</v>
      </c>
      <c r="G447">
        <v>49.947000000000003</v>
      </c>
      <c r="H447">
        <v>9.782</v>
      </c>
      <c r="I447">
        <v>16.483000000000001</v>
      </c>
      <c r="J447">
        <v>0.64400000000000002</v>
      </c>
      <c r="K447">
        <v>16412.815999999999</v>
      </c>
      <c r="L447">
        <v>133</v>
      </c>
      <c r="M447">
        <v>1.706</v>
      </c>
      <c r="N447">
        <v>0.58599999999999997</v>
      </c>
      <c r="O447">
        <v>0.98199999999999998</v>
      </c>
      <c r="P447" s="2">
        <f t="shared" si="13"/>
        <v>1.685033735432427</v>
      </c>
      <c r="Q447" t="str">
        <f t="shared" si="12"/>
        <v>eliptica</v>
      </c>
    </row>
    <row r="448" spans="1:17" x14ac:dyDescent="0.35">
      <c r="A448" t="s">
        <v>16</v>
      </c>
      <c r="B448">
        <v>130.238</v>
      </c>
      <c r="C448">
        <v>122.19199999999999</v>
      </c>
      <c r="D448">
        <v>138</v>
      </c>
      <c r="E448">
        <v>68</v>
      </c>
      <c r="F448">
        <v>150</v>
      </c>
      <c r="G448">
        <v>53.137999999999998</v>
      </c>
      <c r="H448">
        <v>10.516</v>
      </c>
      <c r="I448">
        <v>16.091999999999999</v>
      </c>
      <c r="J448">
        <v>0.57999999999999996</v>
      </c>
      <c r="K448">
        <v>15914.127</v>
      </c>
      <c r="L448">
        <v>128</v>
      </c>
      <c r="M448">
        <v>1.63</v>
      </c>
      <c r="N448">
        <v>0.61399999999999999</v>
      </c>
      <c r="O448">
        <v>0.97899999999999998</v>
      </c>
      <c r="P448" s="2">
        <f t="shared" si="13"/>
        <v>1.5302396348421452</v>
      </c>
      <c r="Q448" t="str">
        <f t="shared" si="12"/>
        <v>eliptica</v>
      </c>
    </row>
    <row r="449" spans="1:17" x14ac:dyDescent="0.35">
      <c r="A449" t="s">
        <v>16</v>
      </c>
      <c r="B449">
        <v>109.232</v>
      </c>
      <c r="C449">
        <v>129.33000000000001</v>
      </c>
      <c r="D449">
        <v>142</v>
      </c>
      <c r="E449">
        <v>68</v>
      </c>
      <c r="F449">
        <v>253</v>
      </c>
      <c r="G449">
        <v>44.621000000000002</v>
      </c>
      <c r="H449">
        <v>8.9510000000000005</v>
      </c>
      <c r="I449">
        <v>15.358000000000001</v>
      </c>
      <c r="J449">
        <v>0.68899999999999995</v>
      </c>
      <c r="K449">
        <v>14126.918</v>
      </c>
      <c r="L449">
        <v>135</v>
      </c>
      <c r="M449">
        <v>1.6930000000000001</v>
      </c>
      <c r="N449">
        <v>0.59099999999999997</v>
      </c>
      <c r="O449">
        <v>0.98499999999999999</v>
      </c>
      <c r="P449" s="2">
        <f t="shared" si="13"/>
        <v>1.7157859457043905</v>
      </c>
      <c r="Q449" t="str">
        <f t="shared" si="12"/>
        <v>eliptica</v>
      </c>
    </row>
    <row r="450" spans="1:17" x14ac:dyDescent="0.35">
      <c r="A450" t="s">
        <v>16</v>
      </c>
      <c r="B450">
        <v>94.980999999999995</v>
      </c>
      <c r="C450">
        <v>127.352</v>
      </c>
      <c r="D450">
        <v>142</v>
      </c>
      <c r="E450">
        <v>70</v>
      </c>
      <c r="F450">
        <v>157</v>
      </c>
      <c r="G450">
        <v>41.588000000000001</v>
      </c>
      <c r="H450">
        <v>11.494</v>
      </c>
      <c r="I450">
        <v>12.423</v>
      </c>
      <c r="J450">
        <v>0.69</v>
      </c>
      <c r="K450">
        <v>12095.989</v>
      </c>
      <c r="L450">
        <v>133</v>
      </c>
      <c r="M450">
        <v>1.6220000000000001</v>
      </c>
      <c r="N450">
        <v>0.61599999999999999</v>
      </c>
      <c r="O450">
        <v>0.98199999999999998</v>
      </c>
      <c r="P450" s="2">
        <f t="shared" si="13"/>
        <v>1.0808247781451192</v>
      </c>
      <c r="Q450" t="str">
        <f t="shared" ref="Q450:Q464" si="14">IF(P450&lt;1,"ovoide",IF(P450&lt;1.5,"esferica",IF(P450&lt;2,"eliptica","alongada")))</f>
        <v>esferica</v>
      </c>
    </row>
    <row r="451" spans="1:17" x14ac:dyDescent="0.35">
      <c r="A451" t="s">
        <v>16</v>
      </c>
      <c r="B451">
        <v>108.684</v>
      </c>
      <c r="C451">
        <v>129.46600000000001</v>
      </c>
      <c r="D451">
        <v>149</v>
      </c>
      <c r="E451">
        <v>63</v>
      </c>
      <c r="F451">
        <v>163</v>
      </c>
      <c r="G451">
        <v>48.704000000000001</v>
      </c>
      <c r="H451">
        <v>9.8800000000000008</v>
      </c>
      <c r="I451">
        <v>14.771000000000001</v>
      </c>
      <c r="J451">
        <v>0.57599999999999996</v>
      </c>
      <c r="K451">
        <v>14070.843000000001</v>
      </c>
      <c r="L451">
        <v>135</v>
      </c>
      <c r="M451">
        <v>1.448</v>
      </c>
      <c r="N451">
        <v>0.69099999999999995</v>
      </c>
      <c r="O451">
        <v>0.96399999999999997</v>
      </c>
      <c r="P451" s="2">
        <f t="shared" ref="P451:P496" si="15">I451/H451</f>
        <v>1.4950404858299595</v>
      </c>
      <c r="Q451" t="str">
        <f t="shared" si="14"/>
        <v>esferica</v>
      </c>
    </row>
    <row r="452" spans="1:17" x14ac:dyDescent="0.35">
      <c r="A452" t="s">
        <v>16</v>
      </c>
      <c r="B452">
        <v>140.49700000000001</v>
      </c>
      <c r="C452">
        <v>127.913</v>
      </c>
      <c r="D452">
        <v>149</v>
      </c>
      <c r="E452">
        <v>69</v>
      </c>
      <c r="F452">
        <v>159</v>
      </c>
      <c r="G452">
        <v>50.167000000000002</v>
      </c>
      <c r="H452">
        <v>11.005000000000001</v>
      </c>
      <c r="I452">
        <v>16.042999999999999</v>
      </c>
      <c r="J452">
        <v>0.70199999999999996</v>
      </c>
      <c r="K452">
        <v>17971.323</v>
      </c>
      <c r="L452">
        <v>134</v>
      </c>
      <c r="M452">
        <v>1.546</v>
      </c>
      <c r="N452">
        <v>0.64700000000000002</v>
      </c>
      <c r="O452">
        <v>0.98499999999999999</v>
      </c>
      <c r="P452" s="2">
        <f t="shared" si="15"/>
        <v>1.4577919127669239</v>
      </c>
      <c r="Q452" t="str">
        <f t="shared" si="14"/>
        <v>esferica</v>
      </c>
    </row>
    <row r="453" spans="1:17" x14ac:dyDescent="0.35">
      <c r="A453" t="s">
        <v>16</v>
      </c>
      <c r="B453">
        <v>135.858</v>
      </c>
      <c r="C453">
        <v>137.97800000000001</v>
      </c>
      <c r="D453">
        <v>157</v>
      </c>
      <c r="E453">
        <v>68</v>
      </c>
      <c r="F453">
        <v>171</v>
      </c>
      <c r="G453">
        <v>49.918999999999997</v>
      </c>
      <c r="H453">
        <v>11.151999999999999</v>
      </c>
      <c r="I453">
        <v>16.238</v>
      </c>
      <c r="J453">
        <v>0.68500000000000005</v>
      </c>
      <c r="K453">
        <v>18745.406999999999</v>
      </c>
      <c r="L453">
        <v>145</v>
      </c>
      <c r="M453">
        <v>1.647</v>
      </c>
      <c r="N453">
        <v>0.60699999999999998</v>
      </c>
      <c r="O453">
        <v>0.98499999999999999</v>
      </c>
      <c r="P453" s="2">
        <f t="shared" si="15"/>
        <v>1.4560616929698709</v>
      </c>
      <c r="Q453" t="str">
        <f t="shared" si="14"/>
        <v>esferica</v>
      </c>
    </row>
    <row r="454" spans="1:17" x14ac:dyDescent="0.35">
      <c r="A454" t="s">
        <v>16</v>
      </c>
      <c r="B454">
        <v>113.253</v>
      </c>
      <c r="C454">
        <v>128.524</v>
      </c>
      <c r="D454">
        <v>147</v>
      </c>
      <c r="E454">
        <v>70</v>
      </c>
      <c r="F454">
        <v>159</v>
      </c>
      <c r="G454">
        <v>44.558</v>
      </c>
      <c r="H454">
        <v>10.565</v>
      </c>
      <c r="I454">
        <v>14.917999999999999</v>
      </c>
      <c r="J454">
        <v>0.71699999999999997</v>
      </c>
      <c r="K454">
        <v>14555.763999999999</v>
      </c>
      <c r="L454">
        <v>133</v>
      </c>
      <c r="M454">
        <v>1.6040000000000001</v>
      </c>
      <c r="N454">
        <v>0.624</v>
      </c>
      <c r="O454">
        <v>0.98399999999999999</v>
      </c>
      <c r="P454" s="2">
        <f t="shared" si="15"/>
        <v>1.4120208234737339</v>
      </c>
      <c r="Q454" t="str">
        <f t="shared" si="14"/>
        <v>esferica</v>
      </c>
    </row>
    <row r="455" spans="1:17" x14ac:dyDescent="0.35">
      <c r="A455" t="s">
        <v>16</v>
      </c>
      <c r="B455">
        <v>109.926</v>
      </c>
      <c r="C455">
        <v>129.375</v>
      </c>
      <c r="D455">
        <v>154</v>
      </c>
      <c r="E455">
        <v>69</v>
      </c>
      <c r="F455">
        <v>164</v>
      </c>
      <c r="G455">
        <v>45.784999999999997</v>
      </c>
      <c r="H455">
        <v>9.0969999999999995</v>
      </c>
      <c r="I455">
        <v>15.016</v>
      </c>
      <c r="J455">
        <v>0.65900000000000003</v>
      </c>
      <c r="K455">
        <v>14221.583000000001</v>
      </c>
      <c r="L455">
        <v>135</v>
      </c>
      <c r="M455">
        <v>1.677</v>
      </c>
      <c r="N455">
        <v>0.59599999999999997</v>
      </c>
      <c r="O455">
        <v>0.98399999999999999</v>
      </c>
      <c r="P455" s="2">
        <f t="shared" si="15"/>
        <v>1.6506540617786085</v>
      </c>
      <c r="Q455" t="str">
        <f t="shared" si="14"/>
        <v>eliptica</v>
      </c>
    </row>
    <row r="456" spans="1:17" x14ac:dyDescent="0.35">
      <c r="A456" t="s">
        <v>16</v>
      </c>
      <c r="B456">
        <v>107.521</v>
      </c>
      <c r="C456">
        <v>126.622</v>
      </c>
      <c r="D456">
        <v>142</v>
      </c>
      <c r="E456">
        <v>67</v>
      </c>
      <c r="F456">
        <v>156</v>
      </c>
      <c r="G456">
        <v>44.045999999999999</v>
      </c>
      <c r="H456">
        <v>9.0969999999999995</v>
      </c>
      <c r="I456">
        <v>14.624000000000001</v>
      </c>
      <c r="J456">
        <v>0.69599999999999995</v>
      </c>
      <c r="K456">
        <v>13614.509</v>
      </c>
      <c r="L456">
        <v>130</v>
      </c>
      <c r="M456">
        <v>1.631</v>
      </c>
      <c r="N456">
        <v>0.61299999999999999</v>
      </c>
      <c r="O456">
        <v>0.98499999999999999</v>
      </c>
      <c r="P456" s="2">
        <f t="shared" si="15"/>
        <v>1.6075629328350007</v>
      </c>
      <c r="Q456" t="str">
        <f t="shared" si="14"/>
        <v>eliptica</v>
      </c>
    </row>
    <row r="457" spans="1:17" x14ac:dyDescent="0.35">
      <c r="A457" t="s">
        <v>16</v>
      </c>
      <c r="B457">
        <v>120.892</v>
      </c>
      <c r="C457">
        <v>128.101</v>
      </c>
      <c r="D457">
        <v>146</v>
      </c>
      <c r="E457">
        <v>68</v>
      </c>
      <c r="F457">
        <v>159</v>
      </c>
      <c r="G457">
        <v>53.966000000000001</v>
      </c>
      <c r="H457">
        <v>9.5869999999999997</v>
      </c>
      <c r="I457">
        <v>15.945</v>
      </c>
      <c r="J457">
        <v>0.52200000000000002</v>
      </c>
      <c r="K457">
        <v>15486.379000000001</v>
      </c>
      <c r="L457">
        <v>136</v>
      </c>
      <c r="M457">
        <v>1.7050000000000001</v>
      </c>
      <c r="N457">
        <v>0.58599999999999997</v>
      </c>
      <c r="O457">
        <v>0.98</v>
      </c>
      <c r="P457" s="2">
        <f t="shared" si="15"/>
        <v>1.6631897361009702</v>
      </c>
      <c r="Q457" t="str">
        <f t="shared" si="14"/>
        <v>eliptica</v>
      </c>
    </row>
    <row r="458" spans="1:17" x14ac:dyDescent="0.35">
      <c r="A458" t="s">
        <v>16</v>
      </c>
      <c r="B458">
        <v>130.04900000000001</v>
      </c>
      <c r="C458">
        <v>130.30199999999999</v>
      </c>
      <c r="D458">
        <v>142</v>
      </c>
      <c r="E458">
        <v>70</v>
      </c>
      <c r="F458">
        <v>159</v>
      </c>
      <c r="G458">
        <v>48.676000000000002</v>
      </c>
      <c r="H458">
        <v>10.467000000000001</v>
      </c>
      <c r="I458">
        <v>16.385000000000002</v>
      </c>
      <c r="J458">
        <v>0.69</v>
      </c>
      <c r="K458">
        <v>16945.664000000001</v>
      </c>
      <c r="L458">
        <v>136</v>
      </c>
      <c r="M458">
        <v>1.667</v>
      </c>
      <c r="N458">
        <v>0.6</v>
      </c>
      <c r="O458">
        <v>0.98499999999999999</v>
      </c>
      <c r="P458" s="2">
        <f t="shared" si="15"/>
        <v>1.5653960064966084</v>
      </c>
      <c r="Q458" t="str">
        <f t="shared" si="14"/>
        <v>eliptica</v>
      </c>
    </row>
    <row r="459" spans="1:17" x14ac:dyDescent="0.35">
      <c r="A459" t="s">
        <v>16</v>
      </c>
      <c r="B459">
        <v>133.45599999999999</v>
      </c>
      <c r="C459">
        <v>125.539</v>
      </c>
      <c r="D459">
        <v>149</v>
      </c>
      <c r="E459">
        <v>66</v>
      </c>
      <c r="F459">
        <v>162</v>
      </c>
      <c r="G459">
        <v>57.731999999999999</v>
      </c>
      <c r="H459">
        <v>10.858000000000001</v>
      </c>
      <c r="I459">
        <v>15.505000000000001</v>
      </c>
      <c r="J459">
        <v>0.503</v>
      </c>
      <c r="K459">
        <v>16753.901000000002</v>
      </c>
      <c r="L459">
        <v>131</v>
      </c>
      <c r="M459">
        <v>1.524</v>
      </c>
      <c r="N459">
        <v>0.65600000000000003</v>
      </c>
      <c r="O459">
        <v>0.97699999999999998</v>
      </c>
      <c r="P459" s="2">
        <f t="shared" si="15"/>
        <v>1.427979370049733</v>
      </c>
      <c r="Q459" t="str">
        <f t="shared" si="14"/>
        <v>esferica</v>
      </c>
    </row>
    <row r="460" spans="1:17" x14ac:dyDescent="0.35">
      <c r="A460" t="s">
        <v>16</v>
      </c>
      <c r="B460">
        <v>128.892</v>
      </c>
      <c r="C460">
        <v>130.69399999999999</v>
      </c>
      <c r="D460">
        <v>152</v>
      </c>
      <c r="E460">
        <v>67</v>
      </c>
      <c r="F460">
        <v>166</v>
      </c>
      <c r="G460">
        <v>54.195</v>
      </c>
      <c r="H460">
        <v>9.6839999999999993</v>
      </c>
      <c r="I460">
        <v>16.434000000000001</v>
      </c>
      <c r="J460">
        <v>0.55100000000000005</v>
      </c>
      <c r="K460">
        <v>16845.371999999999</v>
      </c>
      <c r="L460">
        <v>138</v>
      </c>
      <c r="M460">
        <v>1.718</v>
      </c>
      <c r="N460">
        <v>0.58199999999999996</v>
      </c>
      <c r="O460">
        <v>0.98099999999999998</v>
      </c>
      <c r="P460" s="2">
        <f t="shared" si="15"/>
        <v>1.697026022304833</v>
      </c>
      <c r="Q460" t="str">
        <f t="shared" si="14"/>
        <v>eliptica</v>
      </c>
    </row>
    <row r="461" spans="1:17" x14ac:dyDescent="0.35">
      <c r="A461" t="s">
        <v>16</v>
      </c>
      <c r="B461">
        <v>110.057</v>
      </c>
      <c r="C461">
        <v>123.456</v>
      </c>
      <c r="D461">
        <v>147</v>
      </c>
      <c r="E461">
        <v>67</v>
      </c>
      <c r="F461">
        <v>158</v>
      </c>
      <c r="G461">
        <v>51.415999999999997</v>
      </c>
      <c r="H461">
        <v>9.1950000000000003</v>
      </c>
      <c r="I461">
        <v>14.869</v>
      </c>
      <c r="J461">
        <v>0.52300000000000002</v>
      </c>
      <c r="K461">
        <v>13587.236999999999</v>
      </c>
      <c r="L461">
        <v>127</v>
      </c>
      <c r="M461">
        <v>1.645</v>
      </c>
      <c r="N461">
        <v>0.60799999999999998</v>
      </c>
      <c r="O461">
        <v>0.97599999999999998</v>
      </c>
      <c r="P461" s="2">
        <f t="shared" si="15"/>
        <v>1.6170744970092441</v>
      </c>
      <c r="Q461" t="str">
        <f t="shared" si="14"/>
        <v>eliptica</v>
      </c>
    </row>
    <row r="462" spans="1:17" x14ac:dyDescent="0.35">
      <c r="A462" t="s">
        <v>16</v>
      </c>
      <c r="B462">
        <v>122.631</v>
      </c>
      <c r="C462">
        <v>125.07899999999999</v>
      </c>
      <c r="D462">
        <v>149</v>
      </c>
      <c r="E462">
        <v>67</v>
      </c>
      <c r="F462">
        <v>159</v>
      </c>
      <c r="G462">
        <v>52.58</v>
      </c>
      <c r="H462">
        <v>10.026999999999999</v>
      </c>
      <c r="I462">
        <v>15.603</v>
      </c>
      <c r="J462">
        <v>0.55700000000000005</v>
      </c>
      <c r="K462">
        <v>15338.558000000001</v>
      </c>
      <c r="L462">
        <v>131</v>
      </c>
      <c r="M462">
        <v>1.5780000000000001</v>
      </c>
      <c r="N462">
        <v>0.63400000000000001</v>
      </c>
      <c r="O462">
        <v>0.97899999999999998</v>
      </c>
      <c r="P462" s="2">
        <f t="shared" si="15"/>
        <v>1.5560985339583127</v>
      </c>
      <c r="Q462" t="str">
        <f t="shared" si="14"/>
        <v>eliptica</v>
      </c>
    </row>
    <row r="463" spans="1:17" x14ac:dyDescent="0.35">
      <c r="A463" t="s">
        <v>16</v>
      </c>
      <c r="B463">
        <v>118.483</v>
      </c>
      <c r="C463">
        <v>124.29300000000001</v>
      </c>
      <c r="D463">
        <v>138</v>
      </c>
      <c r="E463">
        <v>67</v>
      </c>
      <c r="F463">
        <v>156</v>
      </c>
      <c r="G463">
        <v>51.476999999999997</v>
      </c>
      <c r="H463">
        <v>10.076000000000001</v>
      </c>
      <c r="I463">
        <v>15.162000000000001</v>
      </c>
      <c r="J463">
        <v>0.56200000000000006</v>
      </c>
      <c r="K463">
        <v>14726.623</v>
      </c>
      <c r="L463">
        <v>131</v>
      </c>
      <c r="M463">
        <v>1.6319999999999999</v>
      </c>
      <c r="N463">
        <v>0.61299999999999999</v>
      </c>
      <c r="O463">
        <v>0.97899999999999998</v>
      </c>
      <c r="P463" s="2">
        <f t="shared" si="15"/>
        <v>1.5047637951568082</v>
      </c>
      <c r="Q463" t="str">
        <f t="shared" si="14"/>
        <v>eliptica</v>
      </c>
    </row>
    <row r="464" spans="1:17" x14ac:dyDescent="0.35">
      <c r="A464" t="s">
        <v>16</v>
      </c>
      <c r="B464">
        <v>114.63800000000001</v>
      </c>
      <c r="C464">
        <v>130.036</v>
      </c>
      <c r="D464">
        <v>157</v>
      </c>
      <c r="E464">
        <v>70</v>
      </c>
      <c r="F464">
        <v>164</v>
      </c>
      <c r="G464">
        <v>46.170999999999999</v>
      </c>
      <c r="H464">
        <v>10.663</v>
      </c>
      <c r="I464">
        <v>14.771000000000001</v>
      </c>
      <c r="J464">
        <v>0.67600000000000005</v>
      </c>
      <c r="K464">
        <v>14907.08</v>
      </c>
      <c r="L464">
        <v>134</v>
      </c>
      <c r="M464">
        <v>1.7130000000000001</v>
      </c>
      <c r="N464">
        <v>0.58399999999999996</v>
      </c>
      <c r="O464">
        <v>0.98199999999999998</v>
      </c>
      <c r="P464" s="2">
        <f t="shared" si="15"/>
        <v>1.3852574322423334</v>
      </c>
      <c r="Q464" t="str">
        <f t="shared" si="14"/>
        <v>esferica</v>
      </c>
    </row>
    <row r="465" spans="1:17" x14ac:dyDescent="0.35">
      <c r="A465" t="s">
        <v>16</v>
      </c>
      <c r="B465">
        <v>127.258</v>
      </c>
      <c r="C465">
        <v>134.798</v>
      </c>
      <c r="D465">
        <v>157</v>
      </c>
      <c r="E465">
        <v>69</v>
      </c>
      <c r="F465">
        <v>170</v>
      </c>
      <c r="G465">
        <v>51.661999999999999</v>
      </c>
      <c r="H465">
        <v>10.026999999999999</v>
      </c>
      <c r="I465">
        <v>16.385000000000002</v>
      </c>
      <c r="J465">
        <v>0.59899999999999998</v>
      </c>
      <c r="K465">
        <v>17154.067999999999</v>
      </c>
      <c r="L465">
        <v>142</v>
      </c>
      <c r="M465">
        <v>1.6839999999999999</v>
      </c>
      <c r="N465">
        <v>0.59399999999999997</v>
      </c>
      <c r="O465">
        <v>0.98199999999999998</v>
      </c>
      <c r="P465" s="2">
        <f t="shared" si="15"/>
        <v>1.634087962501247</v>
      </c>
      <c r="Q465" t="str">
        <f>IF(P465&lt;1,"ovoide",IF(P465&lt;1.5,"esferica",IF(P465&lt;2,"eliptica","alongada")))</f>
        <v>eliptica</v>
      </c>
    </row>
    <row r="466" spans="1:17" x14ac:dyDescent="0.35">
      <c r="A466" t="s">
        <v>16</v>
      </c>
      <c r="B466">
        <v>127.509</v>
      </c>
      <c r="C466">
        <v>131.291</v>
      </c>
      <c r="D466">
        <v>142</v>
      </c>
      <c r="E466">
        <v>69</v>
      </c>
      <c r="F466">
        <v>166</v>
      </c>
      <c r="G466">
        <v>47.533999999999999</v>
      </c>
      <c r="H466">
        <v>10.369</v>
      </c>
      <c r="I466">
        <v>15.7</v>
      </c>
      <c r="J466">
        <v>0.70899999999999996</v>
      </c>
      <c r="K466">
        <v>16740.808000000001</v>
      </c>
      <c r="L466">
        <v>135</v>
      </c>
      <c r="M466">
        <v>1.619</v>
      </c>
      <c r="N466">
        <v>0.61799999999999999</v>
      </c>
      <c r="O466">
        <v>0.98299999999999998</v>
      </c>
      <c r="P466" s="2">
        <f t="shared" si="15"/>
        <v>1.514128652714823</v>
      </c>
      <c r="Q466" t="str">
        <f t="shared" ref="Q466:Q496" si="16">IF(P466&lt;1,"ovoide",IF(P466&lt;1.5,"esferica",IF(P466&lt;2,"eliptica","alongada")))</f>
        <v>eliptica</v>
      </c>
    </row>
    <row r="467" spans="1:17" x14ac:dyDescent="0.35">
      <c r="A467" t="s">
        <v>16</v>
      </c>
      <c r="B467">
        <v>109.708</v>
      </c>
      <c r="C467">
        <v>134.15100000000001</v>
      </c>
      <c r="D467">
        <v>155</v>
      </c>
      <c r="E467">
        <v>70</v>
      </c>
      <c r="F467">
        <v>164</v>
      </c>
      <c r="G467">
        <v>47.100999999999999</v>
      </c>
      <c r="H467">
        <v>9.3420000000000005</v>
      </c>
      <c r="I467">
        <v>16.286999999999999</v>
      </c>
      <c r="J467">
        <v>0.621</v>
      </c>
      <c r="K467">
        <v>14717.367</v>
      </c>
      <c r="L467">
        <v>140</v>
      </c>
      <c r="M467">
        <v>2.0710000000000002</v>
      </c>
      <c r="N467">
        <v>0.48299999999999998</v>
      </c>
      <c r="O467">
        <v>0.98199999999999998</v>
      </c>
      <c r="P467" s="2">
        <f t="shared" si="15"/>
        <v>1.743416827231856</v>
      </c>
      <c r="Q467" t="str">
        <f t="shared" si="16"/>
        <v>eliptica</v>
      </c>
    </row>
    <row r="468" spans="1:17" x14ac:dyDescent="0.35">
      <c r="A468" t="s">
        <v>16</v>
      </c>
      <c r="B468">
        <v>126.76</v>
      </c>
      <c r="C468">
        <v>133.75800000000001</v>
      </c>
      <c r="D468">
        <v>157</v>
      </c>
      <c r="E468">
        <v>65</v>
      </c>
      <c r="F468">
        <v>255</v>
      </c>
      <c r="G468">
        <v>50.307000000000002</v>
      </c>
      <c r="H468">
        <v>10.173</v>
      </c>
      <c r="I468">
        <v>15.749000000000001</v>
      </c>
      <c r="J468">
        <v>0.629</v>
      </c>
      <c r="K468">
        <v>16955.231</v>
      </c>
      <c r="L468">
        <v>142</v>
      </c>
      <c r="M468">
        <v>1.5249999999999999</v>
      </c>
      <c r="N468">
        <v>0.65600000000000003</v>
      </c>
      <c r="O468">
        <v>0.98099999999999998</v>
      </c>
      <c r="P468" s="2">
        <f t="shared" si="15"/>
        <v>1.54811756610636</v>
      </c>
      <c r="Q468" t="str">
        <f t="shared" si="16"/>
        <v>eliptica</v>
      </c>
    </row>
    <row r="469" spans="1:17" x14ac:dyDescent="0.35">
      <c r="A469" t="s">
        <v>16</v>
      </c>
      <c r="B469">
        <v>130.45400000000001</v>
      </c>
      <c r="C469">
        <v>129.601</v>
      </c>
      <c r="D469">
        <v>149</v>
      </c>
      <c r="E469">
        <v>65</v>
      </c>
      <c r="F469">
        <v>162</v>
      </c>
      <c r="G469">
        <v>52.064999999999998</v>
      </c>
      <c r="H469">
        <v>10.222</v>
      </c>
      <c r="I469">
        <v>16.190000000000001</v>
      </c>
      <c r="J469">
        <v>0.60499999999999998</v>
      </c>
      <c r="K469">
        <v>16906.911</v>
      </c>
      <c r="L469">
        <v>136</v>
      </c>
      <c r="M469">
        <v>1.645</v>
      </c>
      <c r="N469">
        <v>0.60799999999999998</v>
      </c>
      <c r="O469">
        <v>0.98199999999999998</v>
      </c>
      <c r="P469" s="2">
        <f t="shared" si="15"/>
        <v>1.5838387791038937</v>
      </c>
      <c r="Q469" t="str">
        <f t="shared" si="16"/>
        <v>eliptica</v>
      </c>
    </row>
    <row r="470" spans="1:17" x14ac:dyDescent="0.35">
      <c r="A470" t="s">
        <v>16</v>
      </c>
      <c r="B470">
        <v>120.89400000000001</v>
      </c>
      <c r="C470">
        <v>130.018</v>
      </c>
      <c r="D470">
        <v>155</v>
      </c>
      <c r="E470">
        <v>67</v>
      </c>
      <c r="F470">
        <v>174</v>
      </c>
      <c r="G470">
        <v>48.164999999999999</v>
      </c>
      <c r="H470">
        <v>9.5380000000000003</v>
      </c>
      <c r="I470">
        <v>16.042999999999999</v>
      </c>
      <c r="J470">
        <v>0.65500000000000003</v>
      </c>
      <c r="K470">
        <v>15718.465</v>
      </c>
      <c r="L470">
        <v>136</v>
      </c>
      <c r="M470">
        <v>1.6579999999999999</v>
      </c>
      <c r="N470">
        <v>0.60299999999999998</v>
      </c>
      <c r="O470">
        <v>0.98299999999999998</v>
      </c>
      <c r="P470" s="2">
        <f t="shared" si="15"/>
        <v>1.6820088068777521</v>
      </c>
      <c r="Q470" t="str">
        <f t="shared" si="16"/>
        <v>eliptica</v>
      </c>
    </row>
    <row r="471" spans="1:17" x14ac:dyDescent="0.35">
      <c r="A471" t="s">
        <v>16</v>
      </c>
      <c r="B471">
        <v>120.34399999999999</v>
      </c>
      <c r="C471">
        <v>129.648</v>
      </c>
      <c r="D471">
        <v>142</v>
      </c>
      <c r="E471">
        <v>68</v>
      </c>
      <c r="F471">
        <v>173</v>
      </c>
      <c r="G471">
        <v>45.902000000000001</v>
      </c>
      <c r="H471">
        <v>9.6349999999999998</v>
      </c>
      <c r="I471">
        <v>15.505000000000001</v>
      </c>
      <c r="J471">
        <v>0.71799999999999997</v>
      </c>
      <c r="K471">
        <v>15602.31</v>
      </c>
      <c r="L471">
        <v>136</v>
      </c>
      <c r="M471">
        <v>1.619</v>
      </c>
      <c r="N471">
        <v>0.61799999999999999</v>
      </c>
      <c r="O471">
        <v>0.98599999999999999</v>
      </c>
      <c r="P471" s="2">
        <f t="shared" si="15"/>
        <v>1.6092371562013494</v>
      </c>
      <c r="Q471" t="str">
        <f t="shared" si="16"/>
        <v>eliptica</v>
      </c>
    </row>
    <row r="472" spans="1:17" x14ac:dyDescent="0.35">
      <c r="A472" t="s">
        <v>16</v>
      </c>
      <c r="B472">
        <v>117.483</v>
      </c>
      <c r="C472">
        <v>126.563</v>
      </c>
      <c r="D472">
        <v>146</v>
      </c>
      <c r="E472">
        <v>66</v>
      </c>
      <c r="F472">
        <v>157</v>
      </c>
      <c r="G472">
        <v>49.052999999999997</v>
      </c>
      <c r="H472">
        <v>13.792999999999999</v>
      </c>
      <c r="I472">
        <v>13.108000000000001</v>
      </c>
      <c r="J472">
        <v>0.61399999999999999</v>
      </c>
      <c r="K472">
        <v>14868.921</v>
      </c>
      <c r="L472">
        <v>132</v>
      </c>
      <c r="M472">
        <v>1.7430000000000001</v>
      </c>
      <c r="N472">
        <v>0.57399999999999995</v>
      </c>
      <c r="O472">
        <v>0.97899999999999998</v>
      </c>
      <c r="P472" s="2">
        <f t="shared" si="15"/>
        <v>0.95033712752845656</v>
      </c>
      <c r="Q472" t="str">
        <f t="shared" si="16"/>
        <v>ovoide</v>
      </c>
    </row>
    <row r="473" spans="1:17" x14ac:dyDescent="0.35">
      <c r="A473" t="s">
        <v>16</v>
      </c>
      <c r="B473">
        <v>138.018</v>
      </c>
      <c r="C473">
        <v>129.006</v>
      </c>
      <c r="D473">
        <v>141</v>
      </c>
      <c r="E473">
        <v>67</v>
      </c>
      <c r="F473">
        <v>255</v>
      </c>
      <c r="G473">
        <v>52.683</v>
      </c>
      <c r="H473">
        <v>9.8800000000000008</v>
      </c>
      <c r="I473">
        <v>17.216999999999999</v>
      </c>
      <c r="J473">
        <v>0.625</v>
      </c>
      <c r="K473">
        <v>17805.186000000002</v>
      </c>
      <c r="L473">
        <v>135</v>
      </c>
      <c r="M473">
        <v>1.8109999999999999</v>
      </c>
      <c r="N473">
        <v>0.55200000000000005</v>
      </c>
      <c r="O473">
        <v>0.98399999999999999</v>
      </c>
      <c r="P473" s="2">
        <f t="shared" si="15"/>
        <v>1.7426113360323885</v>
      </c>
      <c r="Q473" t="str">
        <f t="shared" si="16"/>
        <v>eliptica</v>
      </c>
    </row>
    <row r="474" spans="1:17" x14ac:dyDescent="0.35">
      <c r="A474" t="s">
        <v>16</v>
      </c>
      <c r="B474">
        <v>134.18600000000001</v>
      </c>
      <c r="C474">
        <v>127.878</v>
      </c>
      <c r="D474">
        <v>152</v>
      </c>
      <c r="E474">
        <v>68</v>
      </c>
      <c r="F474">
        <v>165</v>
      </c>
      <c r="G474">
        <v>55.390999999999998</v>
      </c>
      <c r="H474">
        <v>9.6349999999999998</v>
      </c>
      <c r="I474">
        <v>17.216999999999999</v>
      </c>
      <c r="J474">
        <v>0.55000000000000004</v>
      </c>
      <c r="K474">
        <v>17159.357</v>
      </c>
      <c r="L474">
        <v>131</v>
      </c>
      <c r="M474">
        <v>1.7669999999999999</v>
      </c>
      <c r="N474">
        <v>0.56599999999999995</v>
      </c>
      <c r="O474">
        <v>0.97799999999999998</v>
      </c>
      <c r="P474" s="2">
        <f t="shared" si="15"/>
        <v>1.7869226777374156</v>
      </c>
      <c r="Q474" t="str">
        <f t="shared" si="16"/>
        <v>eliptica</v>
      </c>
    </row>
    <row r="475" spans="1:17" x14ac:dyDescent="0.35">
      <c r="A475" t="s">
        <v>16</v>
      </c>
      <c r="B475">
        <v>131.21199999999999</v>
      </c>
      <c r="C475">
        <v>134.756</v>
      </c>
      <c r="D475">
        <v>152</v>
      </c>
      <c r="E475">
        <v>68</v>
      </c>
      <c r="F475">
        <v>164</v>
      </c>
      <c r="G475">
        <v>48.753999999999998</v>
      </c>
      <c r="H475">
        <v>10.125</v>
      </c>
      <c r="I475">
        <v>16.140999999999998</v>
      </c>
      <c r="J475">
        <v>0.69399999999999995</v>
      </c>
      <c r="K475">
        <v>17681.553</v>
      </c>
      <c r="L475">
        <v>142</v>
      </c>
      <c r="M475">
        <v>1.6679999999999999</v>
      </c>
      <c r="N475">
        <v>0.59899999999999998</v>
      </c>
      <c r="O475">
        <v>0.98599999999999999</v>
      </c>
      <c r="P475" s="2">
        <f t="shared" si="15"/>
        <v>1.5941728395061727</v>
      </c>
      <c r="Q475" t="str">
        <f t="shared" si="16"/>
        <v>eliptica</v>
      </c>
    </row>
    <row r="476" spans="1:17" x14ac:dyDescent="0.35">
      <c r="A476" t="s">
        <v>16</v>
      </c>
      <c r="B476">
        <v>116.523</v>
      </c>
      <c r="C476">
        <v>130.27000000000001</v>
      </c>
      <c r="D476">
        <v>146</v>
      </c>
      <c r="E476">
        <v>69</v>
      </c>
      <c r="F476">
        <v>161</v>
      </c>
      <c r="G476">
        <v>46.904000000000003</v>
      </c>
      <c r="H476">
        <v>9.5380000000000003</v>
      </c>
      <c r="I476">
        <v>15.603</v>
      </c>
      <c r="J476">
        <v>0.66600000000000004</v>
      </c>
      <c r="K476">
        <v>15179.492</v>
      </c>
      <c r="L476">
        <v>137</v>
      </c>
      <c r="M476">
        <v>1.784</v>
      </c>
      <c r="N476">
        <v>0.56100000000000005</v>
      </c>
      <c r="O476">
        <v>0.98499999999999999</v>
      </c>
      <c r="P476" s="2">
        <f t="shared" si="15"/>
        <v>1.635877542461732</v>
      </c>
      <c r="Q476" t="str">
        <f t="shared" si="16"/>
        <v>eliptica</v>
      </c>
    </row>
    <row r="477" spans="1:17" x14ac:dyDescent="0.35">
      <c r="A477" t="s">
        <v>16</v>
      </c>
      <c r="B477">
        <v>128.322</v>
      </c>
      <c r="C477">
        <v>127.22</v>
      </c>
      <c r="D477">
        <v>146</v>
      </c>
      <c r="E477">
        <v>66</v>
      </c>
      <c r="F477">
        <v>162</v>
      </c>
      <c r="G477">
        <v>52.786999999999999</v>
      </c>
      <c r="H477">
        <v>9.9290000000000003</v>
      </c>
      <c r="I477">
        <v>16.434000000000001</v>
      </c>
      <c r="J477">
        <v>0.57899999999999996</v>
      </c>
      <c r="K477">
        <v>16325.155000000001</v>
      </c>
      <c r="L477">
        <v>135</v>
      </c>
      <c r="M477">
        <v>1.6870000000000001</v>
      </c>
      <c r="N477">
        <v>0.59299999999999997</v>
      </c>
      <c r="O477">
        <v>0.98099999999999998</v>
      </c>
      <c r="P477" s="2">
        <f t="shared" si="15"/>
        <v>1.6551515761909559</v>
      </c>
      <c r="Q477" t="str">
        <f t="shared" si="16"/>
        <v>eliptica</v>
      </c>
    </row>
    <row r="478" spans="1:17" x14ac:dyDescent="0.35">
      <c r="A478" t="s">
        <v>16</v>
      </c>
      <c r="B478">
        <v>112.435</v>
      </c>
      <c r="C478">
        <v>126.13200000000001</v>
      </c>
      <c r="D478">
        <v>146</v>
      </c>
      <c r="E478">
        <v>68</v>
      </c>
      <c r="F478">
        <v>159</v>
      </c>
      <c r="G478">
        <v>45.881999999999998</v>
      </c>
      <c r="H478">
        <v>10.516</v>
      </c>
      <c r="I478">
        <v>14.771000000000001</v>
      </c>
      <c r="J478">
        <v>0.67100000000000004</v>
      </c>
      <c r="K478">
        <v>14181.694</v>
      </c>
      <c r="L478">
        <v>131</v>
      </c>
      <c r="M478">
        <v>1.669</v>
      </c>
      <c r="N478">
        <v>0.59899999999999998</v>
      </c>
      <c r="O478">
        <v>0.98199999999999998</v>
      </c>
      <c r="P478" s="2">
        <f t="shared" si="15"/>
        <v>1.4046215290985167</v>
      </c>
      <c r="Q478" t="str">
        <f t="shared" si="16"/>
        <v>esferica</v>
      </c>
    </row>
    <row r="479" spans="1:17" x14ac:dyDescent="0.35">
      <c r="A479" t="s">
        <v>16</v>
      </c>
      <c r="B479">
        <v>133.16900000000001</v>
      </c>
      <c r="C479">
        <v>130.65700000000001</v>
      </c>
      <c r="D479">
        <v>157</v>
      </c>
      <c r="E479">
        <v>67</v>
      </c>
      <c r="F479">
        <v>168</v>
      </c>
      <c r="G479">
        <v>49.076999999999998</v>
      </c>
      <c r="H479">
        <v>10.712</v>
      </c>
      <c r="I479">
        <v>16.434000000000001</v>
      </c>
      <c r="J479">
        <v>0.69499999999999995</v>
      </c>
      <c r="K479">
        <v>17399.513999999999</v>
      </c>
      <c r="L479">
        <v>134</v>
      </c>
      <c r="M479">
        <v>1.7130000000000001</v>
      </c>
      <c r="N479">
        <v>0.58399999999999996</v>
      </c>
      <c r="O479">
        <v>0.98299999999999998</v>
      </c>
      <c r="P479" s="2">
        <f t="shared" si="15"/>
        <v>1.534167289021658</v>
      </c>
      <c r="Q479" t="str">
        <f t="shared" si="16"/>
        <v>eliptica</v>
      </c>
    </row>
    <row r="480" spans="1:17" x14ac:dyDescent="0.35">
      <c r="A480" t="s">
        <v>16</v>
      </c>
      <c r="B480">
        <v>115.78700000000001</v>
      </c>
      <c r="C480">
        <v>129.88499999999999</v>
      </c>
      <c r="D480">
        <v>146</v>
      </c>
      <c r="E480">
        <v>68</v>
      </c>
      <c r="F480">
        <v>160</v>
      </c>
      <c r="G480">
        <v>46.393000000000001</v>
      </c>
      <c r="H480">
        <v>9.6349999999999998</v>
      </c>
      <c r="I480">
        <v>15.505000000000001</v>
      </c>
      <c r="J480">
        <v>0.67600000000000005</v>
      </c>
      <c r="K480">
        <v>15038.977000000001</v>
      </c>
      <c r="L480">
        <v>137</v>
      </c>
      <c r="M480">
        <v>1.667</v>
      </c>
      <c r="N480">
        <v>0.6</v>
      </c>
      <c r="O480">
        <v>0.98399999999999999</v>
      </c>
      <c r="P480" s="2">
        <f t="shared" si="15"/>
        <v>1.6092371562013494</v>
      </c>
      <c r="Q480" t="str">
        <f t="shared" si="16"/>
        <v>eliptica</v>
      </c>
    </row>
    <row r="481" spans="1:17" x14ac:dyDescent="0.35">
      <c r="A481" t="s">
        <v>16</v>
      </c>
      <c r="B481">
        <v>105.452</v>
      </c>
      <c r="C481">
        <v>127.994</v>
      </c>
      <c r="D481">
        <v>143</v>
      </c>
      <c r="E481">
        <v>70</v>
      </c>
      <c r="F481">
        <v>158</v>
      </c>
      <c r="G481">
        <v>43.673000000000002</v>
      </c>
      <c r="H481">
        <v>9.0489999999999995</v>
      </c>
      <c r="I481">
        <v>14.282</v>
      </c>
      <c r="J481">
        <v>0.69499999999999995</v>
      </c>
      <c r="K481">
        <v>13497.225</v>
      </c>
      <c r="L481">
        <v>134</v>
      </c>
      <c r="M481">
        <v>1.5840000000000001</v>
      </c>
      <c r="N481">
        <v>0.63100000000000001</v>
      </c>
      <c r="O481">
        <v>0.98399999999999999</v>
      </c>
      <c r="P481" s="2">
        <f t="shared" si="15"/>
        <v>1.5782959443032381</v>
      </c>
      <c r="Q481" t="str">
        <f t="shared" si="16"/>
        <v>eliptica</v>
      </c>
    </row>
    <row r="482" spans="1:17" x14ac:dyDescent="0.35">
      <c r="A482" t="s">
        <v>16</v>
      </c>
      <c r="B482">
        <v>114.251</v>
      </c>
      <c r="C482">
        <v>128.92500000000001</v>
      </c>
      <c r="D482">
        <v>152</v>
      </c>
      <c r="E482">
        <v>66</v>
      </c>
      <c r="F482">
        <v>164</v>
      </c>
      <c r="G482">
        <v>46.356999999999999</v>
      </c>
      <c r="H482">
        <v>9.5380000000000003</v>
      </c>
      <c r="I482">
        <v>15.162000000000001</v>
      </c>
      <c r="J482">
        <v>0.66800000000000004</v>
      </c>
      <c r="K482">
        <v>14729.778</v>
      </c>
      <c r="L482">
        <v>136</v>
      </c>
      <c r="M482">
        <v>1.573</v>
      </c>
      <c r="N482">
        <v>0.63600000000000001</v>
      </c>
      <c r="O482">
        <v>0.98199999999999998</v>
      </c>
      <c r="P482" s="2">
        <f t="shared" si="15"/>
        <v>1.5896414342629483</v>
      </c>
      <c r="Q482" t="str">
        <f t="shared" si="16"/>
        <v>eliptica</v>
      </c>
    </row>
    <row r="483" spans="1:17" x14ac:dyDescent="0.35">
      <c r="A483" t="s">
        <v>16</v>
      </c>
      <c r="B483">
        <v>126.801</v>
      </c>
      <c r="C483">
        <v>127.46599999999999</v>
      </c>
      <c r="D483">
        <v>152</v>
      </c>
      <c r="E483">
        <v>67</v>
      </c>
      <c r="F483">
        <v>163</v>
      </c>
      <c r="G483">
        <v>51.588000000000001</v>
      </c>
      <c r="H483">
        <v>9.8800000000000008</v>
      </c>
      <c r="I483">
        <v>16.140999999999998</v>
      </c>
      <c r="J483">
        <v>0.59899999999999998</v>
      </c>
      <c r="K483">
        <v>16162.772000000001</v>
      </c>
      <c r="L483">
        <v>133</v>
      </c>
      <c r="M483">
        <v>1.613</v>
      </c>
      <c r="N483">
        <v>0.62</v>
      </c>
      <c r="O483">
        <v>0.98099999999999998</v>
      </c>
      <c r="P483" s="2">
        <f t="shared" si="15"/>
        <v>1.6337044534412952</v>
      </c>
      <c r="Q483" t="str">
        <f t="shared" si="16"/>
        <v>eliptica</v>
      </c>
    </row>
    <row r="484" spans="1:17" x14ac:dyDescent="0.35">
      <c r="A484" t="s">
        <v>16</v>
      </c>
      <c r="B484">
        <v>122.777</v>
      </c>
      <c r="C484">
        <v>122.887</v>
      </c>
      <c r="D484">
        <v>146</v>
      </c>
      <c r="E484">
        <v>67</v>
      </c>
      <c r="F484">
        <v>160</v>
      </c>
      <c r="G484">
        <v>52.845999999999997</v>
      </c>
      <c r="H484">
        <v>10.271000000000001</v>
      </c>
      <c r="I484">
        <v>15.651999999999999</v>
      </c>
      <c r="J484">
        <v>0.55200000000000005</v>
      </c>
      <c r="K484">
        <v>15087.741</v>
      </c>
      <c r="L484">
        <v>128</v>
      </c>
      <c r="M484">
        <v>1.5660000000000001</v>
      </c>
      <c r="N484">
        <v>0.63800000000000001</v>
      </c>
      <c r="O484">
        <v>0.97899999999999998</v>
      </c>
      <c r="P484" s="2">
        <f t="shared" si="15"/>
        <v>1.5239022490507252</v>
      </c>
      <c r="Q484" t="str">
        <f t="shared" si="16"/>
        <v>eliptica</v>
      </c>
    </row>
    <row r="485" spans="1:17" x14ac:dyDescent="0.35">
      <c r="A485" t="s">
        <v>16</v>
      </c>
      <c r="B485">
        <v>125.05</v>
      </c>
      <c r="C485">
        <v>129.81700000000001</v>
      </c>
      <c r="D485">
        <v>152</v>
      </c>
      <c r="E485">
        <v>68</v>
      </c>
      <c r="F485">
        <v>167</v>
      </c>
      <c r="G485">
        <v>47.4</v>
      </c>
      <c r="H485">
        <v>9.6839999999999993</v>
      </c>
      <c r="I485">
        <v>15.7</v>
      </c>
      <c r="J485">
        <v>0.69899999999999995</v>
      </c>
      <c r="K485">
        <v>16233.526</v>
      </c>
      <c r="L485">
        <v>136</v>
      </c>
      <c r="M485">
        <v>1.621</v>
      </c>
      <c r="N485">
        <v>0.61699999999999999</v>
      </c>
      <c r="O485">
        <v>0.98699999999999999</v>
      </c>
      <c r="P485" s="2">
        <f t="shared" si="15"/>
        <v>1.6212308963238331</v>
      </c>
      <c r="Q485" t="str">
        <f t="shared" si="16"/>
        <v>eliptica</v>
      </c>
    </row>
    <row r="486" spans="1:17" x14ac:dyDescent="0.35">
      <c r="A486" t="s">
        <v>16</v>
      </c>
      <c r="B486">
        <v>101.61499999999999</v>
      </c>
      <c r="C486">
        <v>127.35299999999999</v>
      </c>
      <c r="D486">
        <v>141</v>
      </c>
      <c r="E486">
        <v>70</v>
      </c>
      <c r="F486">
        <v>156</v>
      </c>
      <c r="G486">
        <v>43.094999999999999</v>
      </c>
      <c r="H486">
        <v>10.417999999999999</v>
      </c>
      <c r="I486">
        <v>14.282</v>
      </c>
      <c r="J486">
        <v>0.68799999999999994</v>
      </c>
      <c r="K486">
        <v>12940.964</v>
      </c>
      <c r="L486">
        <v>134</v>
      </c>
      <c r="M486">
        <v>1.7909999999999999</v>
      </c>
      <c r="N486">
        <v>0.55800000000000005</v>
      </c>
      <c r="O486">
        <v>0.98299999999999998</v>
      </c>
      <c r="P486" s="2">
        <f t="shared" si="15"/>
        <v>1.3708965252447687</v>
      </c>
      <c r="Q486" t="str">
        <f t="shared" si="16"/>
        <v>esferica</v>
      </c>
    </row>
    <row r="487" spans="1:17" x14ac:dyDescent="0.35">
      <c r="A487" t="s">
        <v>16</v>
      </c>
      <c r="B487">
        <v>130.542</v>
      </c>
      <c r="C487">
        <v>128.79599999999999</v>
      </c>
      <c r="D487">
        <v>150</v>
      </c>
      <c r="E487">
        <v>67</v>
      </c>
      <c r="F487">
        <v>165</v>
      </c>
      <c r="G487">
        <v>53.308999999999997</v>
      </c>
      <c r="H487">
        <v>11.933999999999999</v>
      </c>
      <c r="I487">
        <v>15.065</v>
      </c>
      <c r="J487">
        <v>0.57699999999999996</v>
      </c>
      <c r="K487">
        <v>16813.344000000001</v>
      </c>
      <c r="L487">
        <v>136</v>
      </c>
      <c r="M487">
        <v>1.49</v>
      </c>
      <c r="N487">
        <v>0.67100000000000004</v>
      </c>
      <c r="O487">
        <v>0.97899999999999998</v>
      </c>
      <c r="P487" s="2">
        <f t="shared" si="15"/>
        <v>1.262359644712586</v>
      </c>
      <c r="Q487" t="str">
        <f t="shared" si="16"/>
        <v>esferica</v>
      </c>
    </row>
    <row r="488" spans="1:17" x14ac:dyDescent="0.35">
      <c r="A488" t="s">
        <v>16</v>
      </c>
      <c r="B488">
        <v>128.73099999999999</v>
      </c>
      <c r="C488">
        <v>121.468</v>
      </c>
      <c r="D488">
        <v>141</v>
      </c>
      <c r="E488">
        <v>66</v>
      </c>
      <c r="F488">
        <v>156</v>
      </c>
      <c r="G488">
        <v>56.442999999999998</v>
      </c>
      <c r="H488">
        <v>9.9779999999999998</v>
      </c>
      <c r="I488">
        <v>16.532</v>
      </c>
      <c r="J488">
        <v>0.50800000000000001</v>
      </c>
      <c r="K488">
        <v>15636.732</v>
      </c>
      <c r="L488">
        <v>127</v>
      </c>
      <c r="M488">
        <v>1.647</v>
      </c>
      <c r="N488">
        <v>0.60699999999999998</v>
      </c>
      <c r="O488">
        <v>0.97599999999999998</v>
      </c>
      <c r="P488" s="2">
        <f t="shared" si="15"/>
        <v>1.6568450591300863</v>
      </c>
      <c r="Q488" t="str">
        <f t="shared" si="16"/>
        <v>eliptica</v>
      </c>
    </row>
    <row r="489" spans="1:17" x14ac:dyDescent="0.35">
      <c r="A489" t="s">
        <v>16</v>
      </c>
      <c r="B489">
        <v>118.41800000000001</v>
      </c>
      <c r="C489">
        <v>125.93600000000001</v>
      </c>
      <c r="D489">
        <v>152</v>
      </c>
      <c r="E489">
        <v>67</v>
      </c>
      <c r="F489">
        <v>162</v>
      </c>
      <c r="G489">
        <v>47.706000000000003</v>
      </c>
      <c r="H489">
        <v>9.2439999999999998</v>
      </c>
      <c r="I489">
        <v>15.554</v>
      </c>
      <c r="J489">
        <v>0.65400000000000003</v>
      </c>
      <c r="K489">
        <v>14913.138000000001</v>
      </c>
      <c r="L489">
        <v>130</v>
      </c>
      <c r="M489">
        <v>1.6839999999999999</v>
      </c>
      <c r="N489">
        <v>0.59399999999999997</v>
      </c>
      <c r="O489">
        <v>0.98299999999999998</v>
      </c>
      <c r="P489" s="2">
        <f t="shared" si="15"/>
        <v>1.6826049329294679</v>
      </c>
      <c r="Q489" t="str">
        <f t="shared" si="16"/>
        <v>eliptica</v>
      </c>
    </row>
    <row r="490" spans="1:17" x14ac:dyDescent="0.35">
      <c r="A490" t="s">
        <v>16</v>
      </c>
      <c r="B490">
        <v>123.196</v>
      </c>
      <c r="C490">
        <v>129.125</v>
      </c>
      <c r="D490">
        <v>152</v>
      </c>
      <c r="E490">
        <v>66</v>
      </c>
      <c r="F490">
        <v>164</v>
      </c>
      <c r="G490">
        <v>50.886000000000003</v>
      </c>
      <c r="H490">
        <v>11.298</v>
      </c>
      <c r="I490">
        <v>15.162000000000001</v>
      </c>
      <c r="J490">
        <v>0.59799999999999998</v>
      </c>
      <c r="K490">
        <v>15907.623</v>
      </c>
      <c r="L490">
        <v>138</v>
      </c>
      <c r="M490">
        <v>1.679</v>
      </c>
      <c r="N490">
        <v>0.59499999999999997</v>
      </c>
      <c r="O490">
        <v>0.98099999999999998</v>
      </c>
      <c r="P490" s="2">
        <f t="shared" si="15"/>
        <v>1.3420074349442379</v>
      </c>
      <c r="Q490" t="str">
        <f t="shared" si="16"/>
        <v>esferica</v>
      </c>
    </row>
    <row r="491" spans="1:17" x14ac:dyDescent="0.35">
      <c r="A491" t="s">
        <v>16</v>
      </c>
      <c r="B491">
        <v>110.122</v>
      </c>
      <c r="C491">
        <v>125.017</v>
      </c>
      <c r="D491">
        <v>148</v>
      </c>
      <c r="E491">
        <v>66</v>
      </c>
      <c r="F491">
        <v>159</v>
      </c>
      <c r="G491">
        <v>51.036999999999999</v>
      </c>
      <c r="H491">
        <v>10.125</v>
      </c>
      <c r="I491">
        <v>14.967000000000001</v>
      </c>
      <c r="J491">
        <v>0.53100000000000003</v>
      </c>
      <c r="K491">
        <v>13767.093999999999</v>
      </c>
      <c r="L491">
        <v>132</v>
      </c>
      <c r="M491">
        <v>1.7490000000000001</v>
      </c>
      <c r="N491">
        <v>0.57199999999999995</v>
      </c>
      <c r="O491">
        <v>0.97799999999999998</v>
      </c>
      <c r="P491" s="2">
        <f t="shared" si="15"/>
        <v>1.4782222222222223</v>
      </c>
      <c r="Q491" t="str">
        <f t="shared" si="16"/>
        <v>esferica</v>
      </c>
    </row>
    <row r="492" spans="1:17" x14ac:dyDescent="0.35">
      <c r="A492" t="s">
        <v>16</v>
      </c>
      <c r="B492">
        <v>139.255</v>
      </c>
      <c r="C492">
        <v>128.75899999999999</v>
      </c>
      <c r="D492">
        <v>152</v>
      </c>
      <c r="E492">
        <v>67</v>
      </c>
      <c r="F492">
        <v>163</v>
      </c>
      <c r="G492">
        <v>50.707999999999998</v>
      </c>
      <c r="H492">
        <v>11.005000000000001</v>
      </c>
      <c r="I492">
        <v>16.286999999999999</v>
      </c>
      <c r="J492">
        <v>0.68100000000000005</v>
      </c>
      <c r="K492">
        <v>17930.341</v>
      </c>
      <c r="L492">
        <v>135</v>
      </c>
      <c r="M492">
        <v>1.52</v>
      </c>
      <c r="N492">
        <v>0.65800000000000003</v>
      </c>
      <c r="O492">
        <v>0.98399999999999999</v>
      </c>
      <c r="P492" s="2">
        <f t="shared" si="15"/>
        <v>1.4799636528850522</v>
      </c>
      <c r="Q492" t="str">
        <f t="shared" si="16"/>
        <v>esferica</v>
      </c>
    </row>
    <row r="493" spans="1:17" x14ac:dyDescent="0.35">
      <c r="A493" t="s">
        <v>16</v>
      </c>
      <c r="B493">
        <v>114.378</v>
      </c>
      <c r="C493">
        <v>128.535</v>
      </c>
      <c r="D493">
        <v>146</v>
      </c>
      <c r="E493">
        <v>66</v>
      </c>
      <c r="F493">
        <v>157</v>
      </c>
      <c r="G493">
        <v>50.031999999999996</v>
      </c>
      <c r="H493">
        <v>9.3420000000000005</v>
      </c>
      <c r="I493">
        <v>15.798</v>
      </c>
      <c r="J493">
        <v>0.57399999999999995</v>
      </c>
      <c r="K493">
        <v>14701.573</v>
      </c>
      <c r="L493">
        <v>135</v>
      </c>
      <c r="M493">
        <v>1.7769999999999999</v>
      </c>
      <c r="N493">
        <v>0.56299999999999994</v>
      </c>
      <c r="O493">
        <v>0.98</v>
      </c>
      <c r="P493" s="2">
        <f t="shared" si="15"/>
        <v>1.691072575465639</v>
      </c>
      <c r="Q493" t="str">
        <f t="shared" si="16"/>
        <v>eliptica</v>
      </c>
    </row>
    <row r="494" spans="1:17" x14ac:dyDescent="0.35">
      <c r="A494" t="s">
        <v>16</v>
      </c>
      <c r="B494">
        <v>109.399</v>
      </c>
      <c r="C494">
        <v>126.46899999999999</v>
      </c>
      <c r="D494">
        <v>146</v>
      </c>
      <c r="E494">
        <v>66</v>
      </c>
      <c r="F494">
        <v>158</v>
      </c>
      <c r="G494">
        <v>45.996000000000002</v>
      </c>
      <c r="H494">
        <v>9.9290000000000003</v>
      </c>
      <c r="I494">
        <v>14.478</v>
      </c>
      <c r="J494">
        <v>0.65</v>
      </c>
      <c r="K494">
        <v>13835.655000000001</v>
      </c>
      <c r="L494">
        <v>133</v>
      </c>
      <c r="M494">
        <v>1.591</v>
      </c>
      <c r="N494">
        <v>0.629</v>
      </c>
      <c r="O494">
        <v>0.98</v>
      </c>
      <c r="P494" s="2">
        <f t="shared" si="15"/>
        <v>1.4581528854869574</v>
      </c>
      <c r="Q494" t="str">
        <f t="shared" si="16"/>
        <v>esferica</v>
      </c>
    </row>
    <row r="495" spans="1:17" x14ac:dyDescent="0.35">
      <c r="A495" t="s">
        <v>16</v>
      </c>
      <c r="B495">
        <v>141.874</v>
      </c>
      <c r="C495">
        <v>125.649</v>
      </c>
      <c r="D495">
        <v>152</v>
      </c>
      <c r="E495">
        <v>68</v>
      </c>
      <c r="F495">
        <v>164</v>
      </c>
      <c r="G495">
        <v>51.441000000000003</v>
      </c>
      <c r="H495">
        <v>10.565</v>
      </c>
      <c r="I495">
        <v>16.63</v>
      </c>
      <c r="J495">
        <v>0.67400000000000004</v>
      </c>
      <c r="K495">
        <v>17826.322</v>
      </c>
      <c r="L495">
        <v>130</v>
      </c>
      <c r="M495">
        <v>1.5589999999999999</v>
      </c>
      <c r="N495">
        <v>0.64100000000000001</v>
      </c>
      <c r="O495">
        <v>0.98499999999999999</v>
      </c>
      <c r="P495" s="2">
        <f t="shared" si="15"/>
        <v>1.5740653099858022</v>
      </c>
      <c r="Q495" t="str">
        <f t="shared" si="16"/>
        <v>eliptica</v>
      </c>
    </row>
    <row r="496" spans="1:17" x14ac:dyDescent="0.35">
      <c r="A496" t="s">
        <v>16</v>
      </c>
      <c r="B496">
        <v>85.088999999999999</v>
      </c>
      <c r="C496">
        <v>120.619</v>
      </c>
      <c r="D496">
        <v>136</v>
      </c>
      <c r="E496">
        <v>64</v>
      </c>
      <c r="F496">
        <v>154</v>
      </c>
      <c r="G496">
        <v>43.991999999999997</v>
      </c>
      <c r="H496">
        <v>8.3640000000000008</v>
      </c>
      <c r="I496">
        <v>13.597</v>
      </c>
      <c r="J496">
        <v>0.55300000000000005</v>
      </c>
      <c r="K496">
        <v>10263.329</v>
      </c>
      <c r="L496">
        <v>126</v>
      </c>
      <c r="M496">
        <v>1.708</v>
      </c>
      <c r="N496">
        <v>0.58599999999999997</v>
      </c>
      <c r="O496">
        <v>0.97399999999999998</v>
      </c>
      <c r="P496" s="2">
        <f>I496/H496</f>
        <v>1.6256575801052127</v>
      </c>
      <c r="Q496" t="str">
        <f t="shared" si="16"/>
        <v>eliptica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2025-03-14T18:50:53Z</dcterms:created>
  <dcterms:modified xsi:type="dcterms:W3CDTF">2025-12-04T13:41:06Z</dcterms:modified>
</cp:coreProperties>
</file>